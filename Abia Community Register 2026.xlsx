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ezinne_ibe_manchester_ac_uk/Documents/"/>
    </mc:Choice>
  </mc:AlternateContent>
  <xr:revisionPtr revIDLastSave="1286" documentId="8_{6C912D4B-1DB3-4E55-AFCE-3B3760290607}" xr6:coauthVersionLast="47" xr6:coauthVersionMax="47" xr10:uidLastSave="{A7549DFF-5AD9-43E3-98EE-94ECFA38717F}"/>
  <bookViews>
    <workbookView xWindow="-110" yWindow="-110" windowWidth="19420" windowHeight="10300" firstSheet="7" activeTab="10" xr2:uid="{CFF6216D-BF17-4B19-B6B2-30E2D743307E}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Iriji 2023" sheetId="6" r:id="rId6"/>
    <sheet name="2024" sheetId="7" r:id="rId7"/>
    <sheet name="Iriji 2024" sheetId="8" r:id="rId8"/>
    <sheet name="2025" sheetId="9" r:id="rId9"/>
    <sheet name="Iriji 2025" sheetId="10" r:id="rId10"/>
    <sheet name="2026" sheetId="12" r:id="rId11"/>
    <sheet name="Names" sheetId="1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8" i="12" l="1"/>
  <c r="P76" i="12"/>
  <c r="P75" i="12"/>
  <c r="P71" i="12"/>
  <c r="P70" i="12"/>
  <c r="P69" i="12"/>
  <c r="P68" i="12"/>
  <c r="P63" i="12"/>
  <c r="P62" i="12"/>
  <c r="P61" i="12"/>
  <c r="P57" i="12"/>
  <c r="P55" i="12"/>
  <c r="P54" i="12"/>
  <c r="O53" i="9"/>
  <c r="P51" i="12"/>
  <c r="P46" i="12"/>
  <c r="P42" i="12"/>
  <c r="P41" i="12"/>
  <c r="P40" i="12"/>
  <c r="P37" i="12"/>
  <c r="P32" i="12"/>
  <c r="P26" i="12"/>
  <c r="P24" i="12"/>
  <c r="P22" i="12"/>
  <c r="P21" i="12"/>
  <c r="P16" i="12"/>
  <c r="P15" i="12"/>
  <c r="P14" i="12"/>
  <c r="P12" i="12"/>
  <c r="P11" i="12"/>
  <c r="P3" i="12"/>
  <c r="P4" i="12"/>
  <c r="P5" i="12"/>
  <c r="P6" i="12"/>
  <c r="P7" i="12"/>
  <c r="P8" i="12"/>
  <c r="P9" i="12"/>
  <c r="P10" i="12"/>
  <c r="P13" i="12"/>
  <c r="P17" i="12"/>
  <c r="P18" i="12"/>
  <c r="P19" i="12"/>
  <c r="P20" i="12"/>
  <c r="P23" i="12"/>
  <c r="P25" i="12"/>
  <c r="P27" i="12"/>
  <c r="P28" i="12"/>
  <c r="P29" i="12"/>
  <c r="P30" i="12"/>
  <c r="P31" i="12"/>
  <c r="P33" i="12"/>
  <c r="P34" i="12"/>
  <c r="P35" i="12"/>
  <c r="P36" i="12"/>
  <c r="P38" i="12"/>
  <c r="P39" i="12"/>
  <c r="P43" i="12"/>
  <c r="P44" i="12"/>
  <c r="P45" i="12"/>
  <c r="P47" i="12"/>
  <c r="P48" i="12"/>
  <c r="P49" i="12"/>
  <c r="P50" i="12"/>
  <c r="P52" i="12"/>
  <c r="P53" i="12"/>
  <c r="P56" i="12"/>
  <c r="P58" i="12"/>
  <c r="P59" i="12"/>
  <c r="P60" i="12"/>
  <c r="P64" i="12"/>
  <c r="P65" i="12"/>
  <c r="P66" i="12"/>
  <c r="P67" i="12"/>
  <c r="P72" i="12"/>
  <c r="P73" i="12"/>
  <c r="P74" i="12"/>
  <c r="P77" i="12"/>
  <c r="P79" i="12"/>
  <c r="P80" i="12"/>
  <c r="P2" i="12"/>
  <c r="N18" i="7"/>
  <c r="N66" i="7"/>
  <c r="O43" i="9"/>
  <c r="N37" i="7"/>
  <c r="N36" i="7"/>
  <c r="O75" i="9"/>
  <c r="O70" i="9"/>
  <c r="O67" i="9"/>
  <c r="O61" i="9"/>
  <c r="O55" i="9"/>
  <c r="O47" i="9"/>
  <c r="O39" i="9"/>
  <c r="O20" i="9"/>
  <c r="O18" i="9"/>
  <c r="O25" i="9"/>
  <c r="O22" i="9"/>
  <c r="O35" i="9"/>
  <c r="O34" i="9"/>
  <c r="O56" i="9"/>
  <c r="O62" i="9"/>
  <c r="O77" i="9"/>
  <c r="O52" i="9"/>
  <c r="O23" i="9"/>
  <c r="O54" i="9"/>
  <c r="N46" i="7"/>
  <c r="O48" i="9"/>
  <c r="O13" i="9"/>
  <c r="O11" i="9"/>
  <c r="O4" i="9"/>
  <c r="O3" i="9"/>
  <c r="O5" i="9"/>
  <c r="O6" i="9"/>
  <c r="O7" i="9"/>
  <c r="O8" i="9"/>
  <c r="O9" i="9"/>
  <c r="O10" i="9"/>
  <c r="O12" i="9"/>
  <c r="O14" i="9"/>
  <c r="O15" i="9"/>
  <c r="O17" i="9"/>
  <c r="O24" i="9"/>
  <c r="O26" i="9"/>
  <c r="O27" i="9"/>
  <c r="O28" i="9"/>
  <c r="O29" i="9"/>
  <c r="O30" i="9"/>
  <c r="O31" i="9"/>
  <c r="O32" i="9"/>
  <c r="O33" i="9"/>
  <c r="O36" i="9"/>
  <c r="O38" i="9"/>
  <c r="O41" i="9"/>
  <c r="O42" i="9"/>
  <c r="O44" i="9"/>
  <c r="O45" i="9"/>
  <c r="O46" i="9"/>
  <c r="O49" i="9"/>
  <c r="O50" i="9"/>
  <c r="O51" i="9"/>
  <c r="O57" i="9"/>
  <c r="O58" i="9"/>
  <c r="O59" i="9"/>
  <c r="O60" i="9"/>
  <c r="O63" i="9"/>
  <c r="O64" i="9"/>
  <c r="O65" i="9"/>
  <c r="O66" i="9"/>
  <c r="O68" i="9"/>
  <c r="O71" i="9"/>
  <c r="O72" i="9"/>
  <c r="O73" i="9"/>
  <c r="O78" i="9"/>
  <c r="O2" i="9"/>
  <c r="N33" i="7"/>
  <c r="N4" i="7"/>
  <c r="N48" i="7"/>
  <c r="N52" i="7"/>
  <c r="N49" i="7"/>
  <c r="N15" i="7"/>
  <c r="N17" i="7"/>
  <c r="N27" i="7"/>
  <c r="N16" i="7"/>
  <c r="N30" i="7"/>
  <c r="C92" i="8"/>
  <c r="N47" i="7"/>
  <c r="N61" i="7"/>
  <c r="N60" i="7"/>
  <c r="N28" i="7"/>
  <c r="N42" i="7"/>
  <c r="N34" i="7"/>
  <c r="N3" i="7"/>
  <c r="N19" i="7"/>
  <c r="N20" i="7"/>
  <c r="N41" i="7"/>
  <c r="N50" i="7"/>
  <c r="N63" i="7"/>
  <c r="N67" i="7"/>
  <c r="N5" i="7"/>
  <c r="N6" i="7"/>
  <c r="N7" i="7"/>
  <c r="N8" i="7"/>
  <c r="N9" i="7"/>
  <c r="N10" i="7"/>
  <c r="N11" i="7"/>
  <c r="N12" i="7"/>
  <c r="N13" i="7"/>
  <c r="N14" i="7"/>
  <c r="N21" i="7"/>
  <c r="N23" i="7"/>
  <c r="N24" i="7"/>
  <c r="N25" i="7"/>
  <c r="N26" i="7"/>
  <c r="N29" i="7"/>
  <c r="N31" i="7"/>
  <c r="N32" i="7"/>
  <c r="N35" i="7"/>
  <c r="N38" i="7"/>
  <c r="N39" i="7"/>
  <c r="N40" i="7"/>
  <c r="N43" i="7"/>
  <c r="N44" i="7"/>
  <c r="N45" i="7"/>
  <c r="N51" i="7"/>
  <c r="N53" i="7"/>
  <c r="N54" i="7"/>
  <c r="N55" i="7"/>
  <c r="N56" i="7"/>
  <c r="N57" i="7"/>
  <c r="N58" i="7"/>
  <c r="N59" i="7"/>
  <c r="N62" i="7"/>
  <c r="N64" i="7"/>
  <c r="N65" i="7"/>
  <c r="N68" i="7"/>
  <c r="N2" i="7"/>
  <c r="D86" i="6"/>
  <c r="G86" i="6"/>
  <c r="E86" i="6"/>
  <c r="C56" i="5"/>
  <c r="E56" i="1"/>
  <c r="O79" i="9" l="1"/>
  <c r="N71" i="7"/>
</calcChain>
</file>

<file path=xl/sharedStrings.xml><?xml version="1.0" encoding="utf-8"?>
<sst xmlns="http://schemas.openxmlformats.org/spreadsheetml/2006/main" count="1936" uniqueCount="387">
  <si>
    <t>First Name</t>
  </si>
  <si>
    <t>Surname</t>
  </si>
  <si>
    <t>Tel no</t>
  </si>
  <si>
    <t xml:space="preserve">July </t>
  </si>
  <si>
    <t>August</t>
  </si>
  <si>
    <t>September</t>
  </si>
  <si>
    <t>October</t>
  </si>
  <si>
    <t>November</t>
  </si>
  <si>
    <t>December</t>
  </si>
  <si>
    <t>Nk</t>
  </si>
  <si>
    <t>Agu</t>
  </si>
  <si>
    <t>07738020076</t>
  </si>
  <si>
    <t>Elizabeth</t>
  </si>
  <si>
    <t>Onuoha</t>
  </si>
  <si>
    <t>07533229110</t>
  </si>
  <si>
    <t>Anne</t>
  </si>
  <si>
    <t>Ajere</t>
  </si>
  <si>
    <t>07720990872</t>
  </si>
  <si>
    <t>Jonathan</t>
  </si>
  <si>
    <t>07859866420</t>
  </si>
  <si>
    <t>Anna Kalu</t>
  </si>
  <si>
    <t>Ajuzieogu</t>
  </si>
  <si>
    <t>07459910826</t>
  </si>
  <si>
    <t>Uzoma</t>
  </si>
  <si>
    <t>07438155820</t>
  </si>
  <si>
    <t>Amaka</t>
  </si>
  <si>
    <t>Ani</t>
  </si>
  <si>
    <t>07403219524</t>
  </si>
  <si>
    <t>Elyson I</t>
  </si>
  <si>
    <t>Anyaele</t>
  </si>
  <si>
    <t>07535383816</t>
  </si>
  <si>
    <t>Achilihu Sam</t>
  </si>
  <si>
    <t>Chimaobi</t>
  </si>
  <si>
    <t>John</t>
  </si>
  <si>
    <t>Chukwu</t>
  </si>
  <si>
    <t>07930686767</t>
  </si>
  <si>
    <t>Kelechi</t>
  </si>
  <si>
    <t>07889752245</t>
  </si>
  <si>
    <t>Chukwudi</t>
  </si>
  <si>
    <t>07985646582</t>
  </si>
  <si>
    <t>Okechukwu</t>
  </si>
  <si>
    <t>Emeribe</t>
  </si>
  <si>
    <t>07417345170</t>
  </si>
  <si>
    <t xml:space="preserve">Joy </t>
  </si>
  <si>
    <t>Francis</t>
  </si>
  <si>
    <t>07999828924</t>
  </si>
  <si>
    <t>Sandra</t>
  </si>
  <si>
    <t>Gabriel</t>
  </si>
  <si>
    <t>Ezinne</t>
  </si>
  <si>
    <t>Ibe</t>
  </si>
  <si>
    <t>07841398346</t>
  </si>
  <si>
    <t>George</t>
  </si>
  <si>
    <t>07515117209</t>
  </si>
  <si>
    <t>Nkem Kanis</t>
  </si>
  <si>
    <t>Igbokwe</t>
  </si>
  <si>
    <t>07495737609</t>
  </si>
  <si>
    <t>Rose</t>
  </si>
  <si>
    <t>Inyama</t>
  </si>
  <si>
    <t>07786992965</t>
  </si>
  <si>
    <t>Ugo</t>
  </si>
  <si>
    <t>07869129417</t>
  </si>
  <si>
    <t>Ikenna</t>
  </si>
  <si>
    <t>James</t>
  </si>
  <si>
    <t>07424081851</t>
  </si>
  <si>
    <t>Kate</t>
  </si>
  <si>
    <t>07500009334</t>
  </si>
  <si>
    <t>Prince</t>
  </si>
  <si>
    <t>Jonah</t>
  </si>
  <si>
    <t>Chukwuemeka</t>
  </si>
  <si>
    <t>Kalu</t>
  </si>
  <si>
    <t>Dan</t>
  </si>
  <si>
    <t>07576007095</t>
  </si>
  <si>
    <t>Isaiah</t>
  </si>
  <si>
    <t>07861292222</t>
  </si>
  <si>
    <t>Jeff</t>
  </si>
  <si>
    <t>Ngozi Jessica</t>
  </si>
  <si>
    <t>07944428832</t>
  </si>
  <si>
    <t>Prince Eme</t>
  </si>
  <si>
    <t>07404915188</t>
  </si>
  <si>
    <t>Uchechukwu Ama</t>
  </si>
  <si>
    <t>Regy Onu</t>
  </si>
  <si>
    <t>Kanu</t>
  </si>
  <si>
    <t>07727811080</t>
  </si>
  <si>
    <t>Onyemachi</t>
  </si>
  <si>
    <t>Ndubuka</t>
  </si>
  <si>
    <t>07917816642</t>
  </si>
  <si>
    <t>Kennedy</t>
  </si>
  <si>
    <t>Nmecha</t>
  </si>
  <si>
    <t>07769852971</t>
  </si>
  <si>
    <t>Ugochi</t>
  </si>
  <si>
    <t>Nwafor</t>
  </si>
  <si>
    <t>07450822062</t>
  </si>
  <si>
    <t>Grace</t>
  </si>
  <si>
    <t>Obison</t>
  </si>
  <si>
    <t>07440577961</t>
  </si>
  <si>
    <t>Odilama</t>
  </si>
  <si>
    <t>07448204196</t>
  </si>
  <si>
    <t>Kalu Hardy</t>
  </si>
  <si>
    <t>Ogwougwa</t>
  </si>
  <si>
    <t>07773031583</t>
  </si>
  <si>
    <t>Chris Ikechi</t>
  </si>
  <si>
    <t>Ogwuru</t>
  </si>
  <si>
    <t>07896163805</t>
  </si>
  <si>
    <t>Justina</t>
  </si>
  <si>
    <t>07908109753</t>
  </si>
  <si>
    <t xml:space="preserve">Chukwu </t>
  </si>
  <si>
    <t>Oko Chukwu</t>
  </si>
  <si>
    <t>07401053576</t>
  </si>
  <si>
    <t>Paul</t>
  </si>
  <si>
    <t>Okoroafor</t>
  </si>
  <si>
    <t>Anyacho Emeka</t>
  </si>
  <si>
    <t>07424908130</t>
  </si>
  <si>
    <t>Oleka</t>
  </si>
  <si>
    <t>Onuma</t>
  </si>
  <si>
    <t>07861850999</t>
  </si>
  <si>
    <t>Ngozi</t>
  </si>
  <si>
    <t>Onwubiko</t>
  </si>
  <si>
    <t>07366307718</t>
  </si>
  <si>
    <t>Grace Obison</t>
  </si>
  <si>
    <t>Stevens</t>
  </si>
  <si>
    <t>Charles</t>
  </si>
  <si>
    <t>Tucker</t>
  </si>
  <si>
    <t>Uba</t>
  </si>
  <si>
    <t>07565149558</t>
  </si>
  <si>
    <t>Uzunma G</t>
  </si>
  <si>
    <t>07565154249</t>
  </si>
  <si>
    <t>Nkebuifu Agu</t>
  </si>
  <si>
    <t>Udensi</t>
  </si>
  <si>
    <t>Oyediya Blessing</t>
  </si>
  <si>
    <t>Uke</t>
  </si>
  <si>
    <t>07478414142</t>
  </si>
  <si>
    <t>Williams</t>
  </si>
  <si>
    <t>07456434357</t>
  </si>
  <si>
    <t>Chisom</t>
  </si>
  <si>
    <t>07878070637</t>
  </si>
  <si>
    <t>January</t>
  </si>
  <si>
    <t>February</t>
  </si>
  <si>
    <t>March</t>
  </si>
  <si>
    <t>April</t>
  </si>
  <si>
    <t>May</t>
  </si>
  <si>
    <t>June</t>
  </si>
  <si>
    <t xml:space="preserve">Emeka </t>
  </si>
  <si>
    <t>Eke</t>
  </si>
  <si>
    <t>Sandra Odilanma</t>
  </si>
  <si>
    <t>DEC</t>
  </si>
  <si>
    <t xml:space="preserve">Outstanding </t>
  </si>
  <si>
    <t xml:space="preserve">Elizabeth </t>
  </si>
  <si>
    <t>Emeka</t>
  </si>
  <si>
    <t xml:space="preserve">Blessing </t>
  </si>
  <si>
    <t>20</t>
  </si>
  <si>
    <t>Andrew</t>
  </si>
  <si>
    <t>Iheanaetu</t>
  </si>
  <si>
    <t>Blossom</t>
  </si>
  <si>
    <t>Linda Oby</t>
  </si>
  <si>
    <t>80</t>
  </si>
  <si>
    <t>40</t>
  </si>
  <si>
    <t>Maclighting</t>
  </si>
  <si>
    <t>Munnonye</t>
  </si>
  <si>
    <t>Vine Chizoba</t>
  </si>
  <si>
    <t>Munonye</t>
  </si>
  <si>
    <t>Goodwin</t>
  </si>
  <si>
    <t>Ndubeze</t>
  </si>
  <si>
    <t>Chioma</t>
  </si>
  <si>
    <t>Onyinyechi</t>
  </si>
  <si>
    <t>Nwaogwugwu</t>
  </si>
  <si>
    <t>Oged</t>
  </si>
  <si>
    <t>50</t>
  </si>
  <si>
    <t>Uzoma Violet</t>
  </si>
  <si>
    <t>Oluwanbe</t>
  </si>
  <si>
    <t>Esther</t>
  </si>
  <si>
    <t>Ozegbe</t>
  </si>
  <si>
    <t>Peter</t>
  </si>
  <si>
    <t>Outstanding  2021</t>
  </si>
  <si>
    <t>Funday</t>
  </si>
  <si>
    <t>30</t>
  </si>
  <si>
    <t>Elizabeth / Onuoha</t>
  </si>
  <si>
    <t>Anne / Jonathan</t>
  </si>
  <si>
    <t>100</t>
  </si>
  <si>
    <t xml:space="preserve">Ogbonna </t>
  </si>
  <si>
    <t>Ajiwe</t>
  </si>
  <si>
    <t>Chimaobi Sam</t>
  </si>
  <si>
    <t xml:space="preserve">Achilihu </t>
  </si>
  <si>
    <t>60 reg</t>
  </si>
  <si>
    <t>Mercy</t>
  </si>
  <si>
    <t>Arua</t>
  </si>
  <si>
    <t>30 reg</t>
  </si>
  <si>
    <t>Ezinne / George</t>
  </si>
  <si>
    <t>Ezinwanne</t>
  </si>
  <si>
    <t>Igba</t>
  </si>
  <si>
    <t>40 reg</t>
  </si>
  <si>
    <t>70</t>
  </si>
  <si>
    <t>Rose / Ugo</t>
  </si>
  <si>
    <t>Ikenna / Kate</t>
  </si>
  <si>
    <t>Blossom / Emeka</t>
  </si>
  <si>
    <t>n</t>
  </si>
  <si>
    <t>Linda Oby / Reggy</t>
  </si>
  <si>
    <t>Maclighting / Vine</t>
  </si>
  <si>
    <t>60</t>
  </si>
  <si>
    <t>Chioma / Onyema</t>
  </si>
  <si>
    <t>Njoku</t>
  </si>
  <si>
    <t>Nwankpa</t>
  </si>
  <si>
    <t>Chris / Justina</t>
  </si>
  <si>
    <t>Chukwu / Joy</t>
  </si>
  <si>
    <t>Oluchi</t>
  </si>
  <si>
    <t>Okoye</t>
  </si>
  <si>
    <t>Omekara</t>
  </si>
  <si>
    <t>Charles / Ann</t>
  </si>
  <si>
    <t>Gabriel / Uzunma</t>
  </si>
  <si>
    <t>Amaka / Chisom</t>
  </si>
  <si>
    <t>35 reg</t>
  </si>
  <si>
    <t>Outstanding  2022</t>
  </si>
  <si>
    <t>Carried over for 2023</t>
  </si>
  <si>
    <t>Chimaobi Sam/ Stella</t>
  </si>
  <si>
    <t>240 (190 dues + 50 levy)</t>
  </si>
  <si>
    <t>Ama-Kalu</t>
  </si>
  <si>
    <t>Chimka</t>
  </si>
  <si>
    <t>130 (reg)</t>
  </si>
  <si>
    <t>Anya</t>
  </si>
  <si>
    <t>Elyson I / Josephine</t>
  </si>
  <si>
    <t>Blessing / John</t>
  </si>
  <si>
    <t>100 + 10</t>
  </si>
  <si>
    <t>£185 for banner</t>
  </si>
  <si>
    <t>30ws</t>
  </si>
  <si>
    <t>150 (dues + levy)</t>
  </si>
  <si>
    <t xml:space="preserve">Amuche / Bede </t>
  </si>
  <si>
    <t>Nnadi</t>
  </si>
  <si>
    <t>30 (reg)</t>
  </si>
  <si>
    <t xml:space="preserve">Chimaobi / </t>
  </si>
  <si>
    <t>Felicia</t>
  </si>
  <si>
    <t>Ogbonaya</t>
  </si>
  <si>
    <t xml:space="preserve">25 Reg </t>
  </si>
  <si>
    <t>Odinaka Steven</t>
  </si>
  <si>
    <t>Olumba</t>
  </si>
  <si>
    <t>50 Reg (family)</t>
  </si>
  <si>
    <t>Kelechi / Uzo</t>
  </si>
  <si>
    <t>Chidozie</t>
  </si>
  <si>
    <t>30 Reg (ind)</t>
  </si>
  <si>
    <t>Sunday/ Akudo</t>
  </si>
  <si>
    <t>30 Reg (family)</t>
  </si>
  <si>
    <t>Total</t>
  </si>
  <si>
    <t>Iriji Levy</t>
  </si>
  <si>
    <t>Stella</t>
  </si>
  <si>
    <t xml:space="preserve">Anne </t>
  </si>
  <si>
    <t xml:space="preserve">Blossom </t>
  </si>
  <si>
    <t xml:space="preserve">Elyson I </t>
  </si>
  <si>
    <t>Josephine</t>
  </si>
  <si>
    <t>Goodness</t>
  </si>
  <si>
    <t>Mrs</t>
  </si>
  <si>
    <t xml:space="preserve">Rose </t>
  </si>
  <si>
    <t>Julie</t>
  </si>
  <si>
    <t xml:space="preserve">Ikenna </t>
  </si>
  <si>
    <t>Mrs Dan</t>
  </si>
  <si>
    <t xml:space="preserve">Linda Oby </t>
  </si>
  <si>
    <t>Reggy</t>
  </si>
  <si>
    <t xml:space="preserve">Maclighting </t>
  </si>
  <si>
    <t>Vine</t>
  </si>
  <si>
    <t>Sylvia</t>
  </si>
  <si>
    <t xml:space="preserve">Chioma </t>
  </si>
  <si>
    <t>Onyema</t>
  </si>
  <si>
    <t xml:space="preserve">Amuche  </t>
  </si>
  <si>
    <t xml:space="preserve">Bede </t>
  </si>
  <si>
    <t>Mrs Hardy</t>
  </si>
  <si>
    <t>Chris</t>
  </si>
  <si>
    <t>Joy</t>
  </si>
  <si>
    <t>Enyiuche</t>
  </si>
  <si>
    <t>Uzo</t>
  </si>
  <si>
    <t>Akudo</t>
  </si>
  <si>
    <t>Sunday</t>
  </si>
  <si>
    <t>Ann</t>
  </si>
  <si>
    <t xml:space="preserve">Charles </t>
  </si>
  <si>
    <t xml:space="preserve">Gabriel </t>
  </si>
  <si>
    <t>Uzunma</t>
  </si>
  <si>
    <t xml:space="preserve">Amaka </t>
  </si>
  <si>
    <t>War Dance</t>
  </si>
  <si>
    <t>August refreshment</t>
  </si>
  <si>
    <t>Carried over 2023</t>
  </si>
  <si>
    <t>Carried over 2024</t>
  </si>
  <si>
    <t>Chimaobi Sam / Stella</t>
  </si>
  <si>
    <t xml:space="preserve">Adiele </t>
  </si>
  <si>
    <t>Uchechukwu</t>
  </si>
  <si>
    <t>Amankulor</t>
  </si>
  <si>
    <t>Ikechukwu / Ngozi</t>
  </si>
  <si>
    <t>Chile</t>
  </si>
  <si>
    <t>Christopher</t>
  </si>
  <si>
    <t>Ibezim</t>
  </si>
  <si>
    <t>Chijioke/ Chinyere</t>
  </si>
  <si>
    <t>Ezinwanne / Goodness</t>
  </si>
  <si>
    <t>Andrew / Ngozi</t>
  </si>
  <si>
    <t>Mgbarine</t>
  </si>
  <si>
    <t>Anthony</t>
  </si>
  <si>
    <t>Goodwin / Sylvia</t>
  </si>
  <si>
    <t>Odinaka</t>
  </si>
  <si>
    <t>Ogbonna</t>
  </si>
  <si>
    <t>Uchendu</t>
  </si>
  <si>
    <t>Chibueze</t>
  </si>
  <si>
    <t>Ibeh</t>
  </si>
  <si>
    <t>Illo</t>
  </si>
  <si>
    <t>Chidi</t>
  </si>
  <si>
    <t>Imoh</t>
  </si>
  <si>
    <t>Edith Ego</t>
  </si>
  <si>
    <t>Onuha</t>
  </si>
  <si>
    <t xml:space="preserve">Chimaobi Sam </t>
  </si>
  <si>
    <t>Donation</t>
  </si>
  <si>
    <t xml:space="preserve">Ezinne </t>
  </si>
  <si>
    <t>Chijioke</t>
  </si>
  <si>
    <t>Chinyere</t>
  </si>
  <si>
    <t xml:space="preserve">Ezinwanne </t>
  </si>
  <si>
    <t xml:space="preserve">Goodwin </t>
  </si>
  <si>
    <t xml:space="preserve">Amuche </t>
  </si>
  <si>
    <t>Innocent</t>
  </si>
  <si>
    <t xml:space="preserve">Angela </t>
  </si>
  <si>
    <t xml:space="preserve">Chris </t>
  </si>
  <si>
    <t xml:space="preserve">Kelechi </t>
  </si>
  <si>
    <t>Uzunma Mercy</t>
  </si>
  <si>
    <t xml:space="preserve">Ikechukwu </t>
  </si>
  <si>
    <t>Chris / Miriam Ihuoma</t>
  </si>
  <si>
    <t>Miriam Ihuoma</t>
  </si>
  <si>
    <t xml:space="preserve">Andrew </t>
  </si>
  <si>
    <t>Anyacho Emeka / Esther</t>
  </si>
  <si>
    <t>Kalu Hardy / Angela</t>
  </si>
  <si>
    <t>paid 100</t>
  </si>
  <si>
    <t>Iroanya</t>
  </si>
  <si>
    <t>Livingston / Lucy</t>
  </si>
  <si>
    <t xml:space="preserve">30 reg </t>
  </si>
  <si>
    <t>Emezue</t>
  </si>
  <si>
    <t>Godwin</t>
  </si>
  <si>
    <t>Chigbundu</t>
  </si>
  <si>
    <t>Chinedu / Chinyere</t>
  </si>
  <si>
    <t xml:space="preserve">Ngozi </t>
  </si>
  <si>
    <t>Ogwuegbu</t>
  </si>
  <si>
    <t xml:space="preserve">Livingston </t>
  </si>
  <si>
    <t>Lucy</t>
  </si>
  <si>
    <t>Ogbonna / Sandra</t>
  </si>
  <si>
    <t>Mba</t>
  </si>
  <si>
    <t>Moneke</t>
  </si>
  <si>
    <t>Uko</t>
  </si>
  <si>
    <t xml:space="preserve">Mba </t>
  </si>
  <si>
    <t>Chineyere</t>
  </si>
  <si>
    <t>60 (11 Dec 23)</t>
  </si>
  <si>
    <t xml:space="preserve">December </t>
  </si>
  <si>
    <t>Carried over 2025</t>
  </si>
  <si>
    <t>30 reg (Aug)</t>
  </si>
  <si>
    <t>Solomon</t>
  </si>
  <si>
    <t xml:space="preserve">Moneke </t>
  </si>
  <si>
    <t>Blessing</t>
  </si>
  <si>
    <t>30 reg + 10</t>
  </si>
  <si>
    <t>Ukejianya</t>
  </si>
  <si>
    <t>Ezinne / Chinedu</t>
  </si>
  <si>
    <t>Emenike</t>
  </si>
  <si>
    <t>Nkechi</t>
  </si>
  <si>
    <t>30 Reg + 5</t>
  </si>
  <si>
    <t>Ujachukwu</t>
  </si>
  <si>
    <t>Ebuka</t>
  </si>
  <si>
    <t>Solomon / Chisolo</t>
  </si>
  <si>
    <t>Uwaezuoke</t>
  </si>
  <si>
    <t>Nwanneka / Obinna</t>
  </si>
  <si>
    <t>Orji</t>
  </si>
  <si>
    <t>Jenny</t>
  </si>
  <si>
    <t>Ndusoro</t>
  </si>
  <si>
    <t>Emeka Tofman</t>
  </si>
  <si>
    <t>Ernest</t>
  </si>
  <si>
    <t>Ijeoma</t>
  </si>
  <si>
    <t>Ariwaodo</t>
  </si>
  <si>
    <t>Chibuzo / Chucks</t>
  </si>
  <si>
    <t xml:space="preserve">Blessing  </t>
  </si>
  <si>
    <t>Jan</t>
  </si>
  <si>
    <t>Feb</t>
  </si>
  <si>
    <t>Sept</t>
  </si>
  <si>
    <t>Oct</t>
  </si>
  <si>
    <t>Nov</t>
  </si>
  <si>
    <t>Dec</t>
  </si>
  <si>
    <t>Carried over 2026</t>
  </si>
  <si>
    <t>Jenny / Joel</t>
  </si>
  <si>
    <t>Ezekwe</t>
  </si>
  <si>
    <t>Reg £30 + £5</t>
  </si>
  <si>
    <t>Ekeh</t>
  </si>
  <si>
    <t>Sunday / Gift</t>
  </si>
  <si>
    <t>Reg £30 + £10</t>
  </si>
  <si>
    <t>Otasowie</t>
  </si>
  <si>
    <t>Armstrong</t>
  </si>
  <si>
    <t>Reg £30</t>
  </si>
  <si>
    <t>Reg £30 + £50</t>
  </si>
  <si>
    <t>Reg Nov 25</t>
  </si>
  <si>
    <t>Reg £30 + £20</t>
  </si>
  <si>
    <t>Ekeanyanwu</t>
  </si>
  <si>
    <t>Gloria</t>
  </si>
  <si>
    <t>Chris (single from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</si>
</sst>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7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5" borderId="1" xfId="0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/>
    <xf numFmtId="0" fontId="0" fillId="4" borderId="1" xfId="0" applyFill="1" applyBorder="1"/>
    <xf numFmtId="0" fontId="0" fillId="2" borderId="1" xfId="0" applyFill="1" applyBorder="1"/>
    <xf numFmtId="0" fontId="2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/>
    </xf>
    <xf numFmtId="0" fontId="0" fillId="0" borderId="1" xfId="0" applyBorder="1"/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4" fillId="0" borderId="5" xfId="0" applyFont="1" applyBorder="1"/>
    <xf numFmtId="6" fontId="4" fillId="0" borderId="5" xfId="0" applyNumberFormat="1" applyFont="1" applyBorder="1"/>
    <xf numFmtId="6" fontId="4" fillId="9" borderId="5" xfId="0" applyNumberFormat="1" applyFont="1" applyFill="1" applyBorder="1"/>
    <xf numFmtId="0" fontId="2" fillId="9" borderId="1" xfId="0" applyFont="1" applyFill="1" applyBorder="1" applyAlignment="1">
      <alignment horizontal="left" vertical="center"/>
    </xf>
    <xf numFmtId="0" fontId="2" fillId="9" borderId="6" xfId="0" applyFont="1" applyFill="1" applyBorder="1" applyAlignment="1">
      <alignment horizontal="left" vertical="center"/>
    </xf>
    <xf numFmtId="0" fontId="4" fillId="9" borderId="5" xfId="0" applyFont="1" applyFill="1" applyBorder="1"/>
    <xf numFmtId="0" fontId="1" fillId="9" borderId="1" xfId="0" applyFont="1" applyFill="1" applyBorder="1" applyAlignment="1">
      <alignment horizontal="left" vertical="center"/>
    </xf>
    <xf numFmtId="0" fontId="1" fillId="9" borderId="6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6" xfId="0" applyFont="1" applyFill="1" applyBorder="1" applyAlignment="1">
      <alignment horizontal="left" vertical="center"/>
    </xf>
    <xf numFmtId="6" fontId="4" fillId="10" borderId="5" xfId="0" applyNumberFormat="1" applyFont="1" applyFill="1" applyBorder="1"/>
    <xf numFmtId="6" fontId="4" fillId="3" borderId="5" xfId="0" applyNumberFormat="1" applyFont="1" applyFill="1" applyBorder="1"/>
    <xf numFmtId="6" fontId="4" fillId="2" borderId="5" xfId="0" applyNumberFormat="1" applyFont="1" applyFill="1" applyBorder="1"/>
    <xf numFmtId="0" fontId="4" fillId="4" borderId="5" xfId="0" applyFont="1" applyFill="1" applyBorder="1"/>
    <xf numFmtId="6" fontId="4" fillId="4" borderId="5" xfId="0" applyNumberFormat="1" applyFont="1" applyFill="1" applyBorder="1"/>
    <xf numFmtId="0" fontId="4" fillId="2" borderId="5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7" borderId="1" xfId="0" applyFill="1" applyBorder="1"/>
    <xf numFmtId="0" fontId="2" fillId="11" borderId="1" xfId="0" applyFont="1" applyFill="1" applyBorder="1" applyAlignment="1">
      <alignment horizontal="left" vertical="center"/>
    </xf>
    <xf numFmtId="6" fontId="2" fillId="0" borderId="1" xfId="0" applyNumberFormat="1" applyFont="1" applyBorder="1"/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364C-45AB-4381-99B2-630BECD4DFD0}">
  <dimension ref="A1:I180"/>
  <sheetViews>
    <sheetView topLeftCell="A14" zoomScale="115" zoomScaleNormal="115" workbookViewId="0">
      <selection activeCell="B3" sqref="B3"/>
    </sheetView>
  </sheetViews>
  <sheetFormatPr defaultRowHeight="17.5" x14ac:dyDescent="0.35"/>
  <cols>
    <col min="1" max="2" width="22.54296875" style="1" customWidth="1"/>
    <col min="3" max="3" width="22.54296875" style="2" customWidth="1"/>
    <col min="4" max="5" width="9.1796875" style="5" customWidth="1"/>
    <col min="6" max="6" width="14.453125" style="5" customWidth="1"/>
    <col min="7" max="7" width="13.1796875" style="5" customWidth="1"/>
    <col min="8" max="8" width="13.81640625" style="5" customWidth="1"/>
    <col min="9" max="9" width="14" style="5" customWidth="1"/>
  </cols>
  <sheetData>
    <row r="1" spans="1:9" x14ac:dyDescent="0.35">
      <c r="A1" s="1" t="s">
        <v>0</v>
      </c>
      <c r="B1" s="1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5">
      <c r="A2" s="3" t="s">
        <v>9</v>
      </c>
      <c r="B2" s="3" t="s">
        <v>10</v>
      </c>
      <c r="C2" s="2" t="s">
        <v>11</v>
      </c>
      <c r="D2" s="7"/>
      <c r="E2" s="5">
        <v>10</v>
      </c>
      <c r="F2" s="4"/>
      <c r="G2" s="4"/>
      <c r="H2" s="4"/>
      <c r="I2" s="4"/>
    </row>
    <row r="3" spans="1:9" x14ac:dyDescent="0.35">
      <c r="A3" s="3" t="s">
        <v>12</v>
      </c>
      <c r="B3" s="3" t="s">
        <v>10</v>
      </c>
      <c r="D3" s="7"/>
      <c r="F3" s="4"/>
      <c r="G3" s="4"/>
      <c r="H3" s="4"/>
      <c r="I3" s="4"/>
    </row>
    <row r="4" spans="1:9" x14ac:dyDescent="0.35">
      <c r="A4" s="3" t="s">
        <v>13</v>
      </c>
      <c r="B4" s="3" t="s">
        <v>10</v>
      </c>
      <c r="C4" s="2" t="s">
        <v>14</v>
      </c>
    </row>
    <row r="5" spans="1:9" x14ac:dyDescent="0.35">
      <c r="A5" s="3" t="s">
        <v>15</v>
      </c>
      <c r="B5" s="3" t="s">
        <v>16</v>
      </c>
      <c r="C5" s="2" t="s">
        <v>17</v>
      </c>
    </row>
    <row r="6" spans="1:9" x14ac:dyDescent="0.35">
      <c r="A6" s="3" t="s">
        <v>18</v>
      </c>
      <c r="B6" s="3" t="s">
        <v>16</v>
      </c>
      <c r="C6" s="2" t="s">
        <v>19</v>
      </c>
      <c r="D6" s="5">
        <v>10</v>
      </c>
    </row>
    <row r="7" spans="1:9" x14ac:dyDescent="0.35">
      <c r="A7" s="8" t="s">
        <v>20</v>
      </c>
      <c r="B7" s="8" t="s">
        <v>21</v>
      </c>
      <c r="C7" s="2" t="s">
        <v>22</v>
      </c>
    </row>
    <row r="8" spans="1:9" x14ac:dyDescent="0.35">
      <c r="A8" s="8" t="s">
        <v>23</v>
      </c>
      <c r="B8" s="8" t="s">
        <v>21</v>
      </c>
      <c r="C8" s="2" t="s">
        <v>24</v>
      </c>
      <c r="D8" s="5">
        <v>10</v>
      </c>
    </row>
    <row r="9" spans="1:9" x14ac:dyDescent="0.35">
      <c r="A9" s="9" t="s">
        <v>25</v>
      </c>
      <c r="B9" s="9" t="s">
        <v>26</v>
      </c>
      <c r="C9" s="2" t="s">
        <v>27</v>
      </c>
      <c r="D9" s="5">
        <v>5</v>
      </c>
      <c r="E9" s="5">
        <v>5</v>
      </c>
    </row>
    <row r="10" spans="1:9" x14ac:dyDescent="0.35">
      <c r="A10" s="3" t="s">
        <v>28</v>
      </c>
      <c r="B10" s="3" t="s">
        <v>29</v>
      </c>
      <c r="C10" s="2" t="s">
        <v>30</v>
      </c>
      <c r="E10" s="5">
        <v>10</v>
      </c>
    </row>
    <row r="11" spans="1:9" x14ac:dyDescent="0.35">
      <c r="A11" s="3" t="s">
        <v>31</v>
      </c>
      <c r="B11" s="3" t="s">
        <v>32</v>
      </c>
      <c r="E11" s="5">
        <v>10</v>
      </c>
    </row>
    <row r="12" spans="1:9" x14ac:dyDescent="0.35">
      <c r="A12" s="3" t="s">
        <v>33</v>
      </c>
      <c r="B12" s="3" t="s">
        <v>34</v>
      </c>
      <c r="C12" s="2" t="s">
        <v>35</v>
      </c>
      <c r="D12" s="5">
        <v>20</v>
      </c>
      <c r="E12" s="5">
        <v>10</v>
      </c>
      <c r="F12" s="6"/>
    </row>
    <row r="13" spans="1:9" x14ac:dyDescent="0.35">
      <c r="A13" s="3" t="s">
        <v>36</v>
      </c>
      <c r="B13" s="3" t="s">
        <v>34</v>
      </c>
      <c r="C13" s="2" t="s">
        <v>37</v>
      </c>
      <c r="D13" s="5">
        <v>10</v>
      </c>
      <c r="E13" s="5">
        <v>10</v>
      </c>
    </row>
    <row r="14" spans="1:9" x14ac:dyDescent="0.35">
      <c r="A14" s="3" t="s">
        <v>25</v>
      </c>
      <c r="B14" s="3" t="s">
        <v>38</v>
      </c>
      <c r="C14" s="2" t="s">
        <v>39</v>
      </c>
      <c r="E14" s="5">
        <v>10</v>
      </c>
      <c r="F14" s="6"/>
    </row>
    <row r="15" spans="1:9" x14ac:dyDescent="0.35">
      <c r="A15" s="3" t="s">
        <v>40</v>
      </c>
      <c r="B15" s="3" t="s">
        <v>41</v>
      </c>
      <c r="C15" s="2" t="s">
        <v>42</v>
      </c>
      <c r="D15" s="5">
        <v>10</v>
      </c>
      <c r="E15" s="5">
        <v>10</v>
      </c>
    </row>
    <row r="16" spans="1:9" x14ac:dyDescent="0.35">
      <c r="A16" s="3" t="s">
        <v>43</v>
      </c>
      <c r="B16" s="3" t="s">
        <v>44</v>
      </c>
      <c r="C16" s="2" t="s">
        <v>45</v>
      </c>
      <c r="D16" s="5">
        <v>5</v>
      </c>
    </row>
    <row r="17" spans="1:6" x14ac:dyDescent="0.35">
      <c r="A17" s="3" t="s">
        <v>46</v>
      </c>
      <c r="B17" s="3" t="s">
        <v>47</v>
      </c>
      <c r="D17" s="5">
        <v>5</v>
      </c>
      <c r="E17" s="5">
        <v>10</v>
      </c>
      <c r="F17" s="6"/>
    </row>
    <row r="18" spans="1:6" x14ac:dyDescent="0.35">
      <c r="A18" s="3" t="s">
        <v>48</v>
      </c>
      <c r="B18" s="3" t="s">
        <v>49</v>
      </c>
      <c r="C18" s="2" t="s">
        <v>50</v>
      </c>
    </row>
    <row r="19" spans="1:6" x14ac:dyDescent="0.35">
      <c r="A19" s="3" t="s">
        <v>51</v>
      </c>
      <c r="B19" s="3" t="s">
        <v>49</v>
      </c>
      <c r="C19" s="2" t="s">
        <v>52</v>
      </c>
      <c r="D19" s="5">
        <v>10</v>
      </c>
      <c r="E19" s="5">
        <v>10</v>
      </c>
    </row>
    <row r="20" spans="1:6" x14ac:dyDescent="0.35">
      <c r="A20" s="3" t="s">
        <v>53</v>
      </c>
      <c r="B20" s="3" t="s">
        <v>54</v>
      </c>
      <c r="C20" s="2" t="s">
        <v>55</v>
      </c>
    </row>
    <row r="21" spans="1:6" x14ac:dyDescent="0.35">
      <c r="A21" s="3" t="s">
        <v>56</v>
      </c>
      <c r="B21" s="3" t="s">
        <v>57</v>
      </c>
      <c r="C21" s="2" t="s">
        <v>58</v>
      </c>
    </row>
    <row r="22" spans="1:6" x14ac:dyDescent="0.35">
      <c r="A22" s="3" t="s">
        <v>59</v>
      </c>
      <c r="B22" s="3" t="s">
        <v>57</v>
      </c>
      <c r="C22" s="2" t="s">
        <v>60</v>
      </c>
      <c r="D22" s="5">
        <v>10</v>
      </c>
      <c r="E22" s="5">
        <v>10</v>
      </c>
    </row>
    <row r="23" spans="1:6" x14ac:dyDescent="0.35">
      <c r="A23" s="3" t="s">
        <v>61</v>
      </c>
      <c r="B23" s="3" t="s">
        <v>62</v>
      </c>
      <c r="C23" s="2" t="s">
        <v>63</v>
      </c>
      <c r="D23" s="5">
        <v>10</v>
      </c>
      <c r="E23" s="5">
        <v>5</v>
      </c>
    </row>
    <row r="24" spans="1:6" x14ac:dyDescent="0.35">
      <c r="A24" s="3" t="s">
        <v>64</v>
      </c>
      <c r="B24" s="3" t="s">
        <v>62</v>
      </c>
      <c r="C24" s="2" t="s">
        <v>65</v>
      </c>
    </row>
    <row r="25" spans="1:6" x14ac:dyDescent="0.35">
      <c r="A25" s="3" t="s">
        <v>66</v>
      </c>
      <c r="B25" s="3" t="s">
        <v>67</v>
      </c>
    </row>
    <row r="26" spans="1:6" x14ac:dyDescent="0.35">
      <c r="A26" s="3" t="s">
        <v>68</v>
      </c>
      <c r="B26" s="3" t="s">
        <v>69</v>
      </c>
      <c r="D26" s="5">
        <v>10</v>
      </c>
      <c r="E26" s="5">
        <v>10</v>
      </c>
    </row>
    <row r="27" spans="1:6" x14ac:dyDescent="0.35">
      <c r="A27" s="3" t="s">
        <v>70</v>
      </c>
      <c r="B27" s="3" t="s">
        <v>69</v>
      </c>
      <c r="C27" s="2" t="s">
        <v>71</v>
      </c>
      <c r="D27" s="5">
        <v>10</v>
      </c>
      <c r="E27" s="5">
        <v>10</v>
      </c>
    </row>
    <row r="28" spans="1:6" x14ac:dyDescent="0.35">
      <c r="A28" s="3" t="s">
        <v>72</v>
      </c>
      <c r="B28" s="3" t="s">
        <v>69</v>
      </c>
      <c r="C28" s="2" t="s">
        <v>73</v>
      </c>
      <c r="D28" s="5">
        <v>5</v>
      </c>
      <c r="E28" s="5">
        <v>5</v>
      </c>
    </row>
    <row r="29" spans="1:6" x14ac:dyDescent="0.35">
      <c r="A29" s="3" t="s">
        <v>74</v>
      </c>
      <c r="B29" s="3" t="s">
        <v>69</v>
      </c>
      <c r="D29" s="5">
        <v>5</v>
      </c>
    </row>
    <row r="30" spans="1:6" x14ac:dyDescent="0.35">
      <c r="A30" s="3" t="s">
        <v>75</v>
      </c>
      <c r="B30" s="3" t="s">
        <v>69</v>
      </c>
      <c r="C30" s="2" t="s">
        <v>76</v>
      </c>
      <c r="D30" s="5">
        <v>5</v>
      </c>
    </row>
    <row r="31" spans="1:6" x14ac:dyDescent="0.35">
      <c r="A31" s="3" t="s">
        <v>77</v>
      </c>
      <c r="B31" s="3" t="s">
        <v>69</v>
      </c>
      <c r="C31" s="2" t="s">
        <v>78</v>
      </c>
    </row>
    <row r="32" spans="1:6" x14ac:dyDescent="0.35">
      <c r="A32" s="3" t="s">
        <v>79</v>
      </c>
      <c r="B32" s="3" t="s">
        <v>69</v>
      </c>
      <c r="D32" s="5">
        <v>10</v>
      </c>
    </row>
    <row r="33" spans="1:7" x14ac:dyDescent="0.35">
      <c r="A33" s="3" t="s">
        <v>80</v>
      </c>
      <c r="B33" s="3" t="s">
        <v>81</v>
      </c>
      <c r="C33" s="2" t="s">
        <v>82</v>
      </c>
      <c r="D33" s="5">
        <v>10</v>
      </c>
      <c r="E33" s="5">
        <v>10</v>
      </c>
    </row>
    <row r="34" spans="1:7" x14ac:dyDescent="0.35">
      <c r="A34" s="3" t="s">
        <v>83</v>
      </c>
      <c r="B34" s="3" t="s">
        <v>84</v>
      </c>
      <c r="C34" s="2" t="s">
        <v>85</v>
      </c>
      <c r="D34" s="5">
        <v>5</v>
      </c>
      <c r="E34" s="5">
        <v>5</v>
      </c>
    </row>
    <row r="35" spans="1:7" x14ac:dyDescent="0.35">
      <c r="A35" s="3" t="s">
        <v>86</v>
      </c>
      <c r="B35" s="3" t="s">
        <v>87</v>
      </c>
      <c r="C35" s="2" t="s">
        <v>88</v>
      </c>
      <c r="D35" s="5">
        <v>40</v>
      </c>
      <c r="E35" s="6"/>
      <c r="F35" s="6"/>
      <c r="G35" s="6"/>
    </row>
    <row r="36" spans="1:7" x14ac:dyDescent="0.35">
      <c r="A36" s="3" t="s">
        <v>89</v>
      </c>
      <c r="B36" s="3" t="s">
        <v>90</v>
      </c>
      <c r="C36" s="2" t="s">
        <v>91</v>
      </c>
    </row>
    <row r="37" spans="1:7" x14ac:dyDescent="0.35">
      <c r="A37" s="3" t="s">
        <v>92</v>
      </c>
      <c r="B37" s="3" t="s">
        <v>93</v>
      </c>
      <c r="C37" s="2" t="s">
        <v>94</v>
      </c>
    </row>
    <row r="38" spans="1:7" x14ac:dyDescent="0.35">
      <c r="A38" s="3" t="s">
        <v>46</v>
      </c>
      <c r="B38" s="3" t="s">
        <v>95</v>
      </c>
      <c r="C38" s="2" t="s">
        <v>96</v>
      </c>
    </row>
    <row r="39" spans="1:7" x14ac:dyDescent="0.35">
      <c r="A39" s="3" t="s">
        <v>97</v>
      </c>
      <c r="B39" s="3" t="s">
        <v>98</v>
      </c>
      <c r="C39" s="2" t="s">
        <v>99</v>
      </c>
      <c r="D39" s="5">
        <v>5</v>
      </c>
    </row>
    <row r="40" spans="1:7" x14ac:dyDescent="0.35">
      <c r="A40" s="3" t="s">
        <v>100</v>
      </c>
      <c r="B40" s="3" t="s">
        <v>101</v>
      </c>
      <c r="C40" s="2" t="s">
        <v>102</v>
      </c>
      <c r="D40" s="5">
        <v>10</v>
      </c>
      <c r="E40" s="5">
        <v>10</v>
      </c>
    </row>
    <row r="41" spans="1:7" x14ac:dyDescent="0.35">
      <c r="A41" s="3" t="s">
        <v>103</v>
      </c>
      <c r="B41" s="3" t="s">
        <v>101</v>
      </c>
      <c r="C41" s="2" t="s">
        <v>104</v>
      </c>
    </row>
    <row r="42" spans="1:7" x14ac:dyDescent="0.35">
      <c r="A42" s="3" t="s">
        <v>105</v>
      </c>
      <c r="B42" s="3" t="s">
        <v>106</v>
      </c>
      <c r="C42" s="2" t="s">
        <v>107</v>
      </c>
    </row>
    <row r="43" spans="1:7" x14ac:dyDescent="0.35">
      <c r="A43" s="3" t="s">
        <v>43</v>
      </c>
      <c r="B43" s="3" t="s">
        <v>106</v>
      </c>
    </row>
    <row r="44" spans="1:7" x14ac:dyDescent="0.35">
      <c r="A44" s="3" t="s">
        <v>108</v>
      </c>
      <c r="B44" s="3" t="s">
        <v>109</v>
      </c>
      <c r="E44" s="5">
        <v>10</v>
      </c>
    </row>
    <row r="45" spans="1:7" x14ac:dyDescent="0.35">
      <c r="A45" s="3" t="s">
        <v>110</v>
      </c>
      <c r="B45" s="3" t="s">
        <v>13</v>
      </c>
      <c r="C45" s="2" t="s">
        <v>111</v>
      </c>
      <c r="D45" s="5">
        <v>10</v>
      </c>
    </row>
    <row r="46" spans="1:7" x14ac:dyDescent="0.35">
      <c r="A46" s="3" t="s">
        <v>112</v>
      </c>
      <c r="B46" s="3" t="s">
        <v>113</v>
      </c>
      <c r="C46" s="2" t="s">
        <v>114</v>
      </c>
    </row>
    <row r="47" spans="1:7" x14ac:dyDescent="0.35">
      <c r="A47" s="3" t="s">
        <v>115</v>
      </c>
      <c r="B47" s="3" t="s">
        <v>116</v>
      </c>
      <c r="C47" s="2" t="s">
        <v>117</v>
      </c>
      <c r="D47" s="5">
        <v>10</v>
      </c>
      <c r="E47" s="5">
        <v>10</v>
      </c>
      <c r="F47" s="6"/>
      <c r="G47" s="6"/>
    </row>
    <row r="48" spans="1:7" x14ac:dyDescent="0.35">
      <c r="A48" s="3" t="s">
        <v>118</v>
      </c>
      <c r="B48" s="3" t="s">
        <v>119</v>
      </c>
      <c r="D48" s="5">
        <v>5</v>
      </c>
      <c r="E48" s="5">
        <v>5</v>
      </c>
    </row>
    <row r="49" spans="1:5" x14ac:dyDescent="0.35">
      <c r="A49" s="3" t="s">
        <v>120</v>
      </c>
      <c r="B49" s="3" t="s">
        <v>121</v>
      </c>
      <c r="E49" s="5">
        <v>10</v>
      </c>
    </row>
    <row r="50" spans="1:5" x14ac:dyDescent="0.35">
      <c r="A50" s="3" t="s">
        <v>47</v>
      </c>
      <c r="B50" s="3" t="s">
        <v>122</v>
      </c>
      <c r="C50" s="2" t="s">
        <v>123</v>
      </c>
      <c r="D50" s="5">
        <v>10</v>
      </c>
    </row>
    <row r="51" spans="1:5" x14ac:dyDescent="0.35">
      <c r="A51" s="3" t="s">
        <v>124</v>
      </c>
      <c r="B51" s="3" t="s">
        <v>122</v>
      </c>
      <c r="C51" s="2" t="s">
        <v>125</v>
      </c>
    </row>
    <row r="52" spans="1:5" x14ac:dyDescent="0.35">
      <c r="A52" s="3" t="s">
        <v>126</v>
      </c>
      <c r="B52" s="3" t="s">
        <v>127</v>
      </c>
      <c r="C52" s="2" t="s">
        <v>11</v>
      </c>
    </row>
    <row r="53" spans="1:5" x14ac:dyDescent="0.35">
      <c r="A53" s="3" t="s">
        <v>128</v>
      </c>
      <c r="B53" s="3" t="s">
        <v>129</v>
      </c>
      <c r="C53" s="2" t="s">
        <v>130</v>
      </c>
      <c r="D53" s="5">
        <v>5</v>
      </c>
      <c r="E53" s="5">
        <v>5</v>
      </c>
    </row>
    <row r="54" spans="1:5" x14ac:dyDescent="0.35">
      <c r="A54" s="3" t="s">
        <v>25</v>
      </c>
      <c r="B54" s="3" t="s">
        <v>131</v>
      </c>
      <c r="C54" s="2" t="s">
        <v>132</v>
      </c>
    </row>
    <row r="55" spans="1:5" x14ac:dyDescent="0.35">
      <c r="A55" s="3" t="s">
        <v>133</v>
      </c>
      <c r="B55" s="3" t="s">
        <v>131</v>
      </c>
      <c r="C55" s="2" t="s">
        <v>134</v>
      </c>
      <c r="D55" s="5">
        <v>20</v>
      </c>
    </row>
    <row r="56" spans="1:5" x14ac:dyDescent="0.35">
      <c r="A56" s="3"/>
      <c r="B56" s="3"/>
      <c r="E56" s="5">
        <f>SUM(E1:E55)</f>
        <v>200</v>
      </c>
    </row>
    <row r="57" spans="1:5" x14ac:dyDescent="0.35">
      <c r="A57" s="3"/>
      <c r="B57" s="3"/>
    </row>
    <row r="58" spans="1:5" x14ac:dyDescent="0.35">
      <c r="A58" s="3"/>
      <c r="B58" s="3"/>
    </row>
    <row r="59" spans="1:5" x14ac:dyDescent="0.35">
      <c r="A59" s="3"/>
      <c r="B59" s="3"/>
    </row>
    <row r="60" spans="1:5" x14ac:dyDescent="0.35">
      <c r="A60" s="3"/>
      <c r="B60" s="3"/>
    </row>
    <row r="61" spans="1:5" x14ac:dyDescent="0.35">
      <c r="A61" s="3"/>
      <c r="B61" s="3"/>
    </row>
    <row r="62" spans="1:5" x14ac:dyDescent="0.35">
      <c r="A62" s="3"/>
      <c r="B62" s="3"/>
    </row>
    <row r="63" spans="1:5" x14ac:dyDescent="0.35">
      <c r="A63" s="3"/>
      <c r="B63" s="3"/>
    </row>
    <row r="64" spans="1:5" x14ac:dyDescent="0.35">
      <c r="A64" s="3"/>
      <c r="B64" s="3"/>
    </row>
    <row r="65" spans="1:2" x14ac:dyDescent="0.35">
      <c r="A65" s="3"/>
      <c r="B65" s="3"/>
    </row>
    <row r="66" spans="1:2" x14ac:dyDescent="0.35">
      <c r="A66" s="3"/>
      <c r="B66" s="3"/>
    </row>
    <row r="67" spans="1:2" x14ac:dyDescent="0.35">
      <c r="A67" s="3"/>
      <c r="B67" s="3"/>
    </row>
    <row r="68" spans="1:2" x14ac:dyDescent="0.35">
      <c r="A68" s="3"/>
      <c r="B68" s="3"/>
    </row>
    <row r="69" spans="1:2" x14ac:dyDescent="0.35">
      <c r="A69" s="3"/>
      <c r="B69" s="3"/>
    </row>
    <row r="70" spans="1:2" x14ac:dyDescent="0.35">
      <c r="A70" s="3"/>
      <c r="B70" s="3"/>
    </row>
    <row r="71" spans="1:2" x14ac:dyDescent="0.35">
      <c r="A71" s="3"/>
      <c r="B71" s="3"/>
    </row>
    <row r="72" spans="1:2" x14ac:dyDescent="0.35">
      <c r="A72" s="3"/>
      <c r="B72" s="3"/>
    </row>
    <row r="73" spans="1:2" x14ac:dyDescent="0.35">
      <c r="A73" s="3"/>
      <c r="B73" s="3"/>
    </row>
    <row r="74" spans="1:2" x14ac:dyDescent="0.35">
      <c r="A74" s="3"/>
      <c r="B74" s="3"/>
    </row>
    <row r="75" spans="1:2" x14ac:dyDescent="0.35">
      <c r="A75" s="3"/>
      <c r="B75" s="3"/>
    </row>
    <row r="76" spans="1:2" x14ac:dyDescent="0.35">
      <c r="A76" s="3"/>
      <c r="B76" s="3"/>
    </row>
    <row r="77" spans="1:2" x14ac:dyDescent="0.35">
      <c r="A77" s="3"/>
      <c r="B77" s="3"/>
    </row>
    <row r="78" spans="1:2" x14ac:dyDescent="0.35">
      <c r="A78" s="3"/>
      <c r="B78" s="3"/>
    </row>
    <row r="79" spans="1:2" x14ac:dyDescent="0.35">
      <c r="A79" s="3"/>
      <c r="B79" s="3"/>
    </row>
    <row r="80" spans="1:2" x14ac:dyDescent="0.35">
      <c r="A80" s="3"/>
      <c r="B80" s="3"/>
    </row>
    <row r="81" spans="1:2" x14ac:dyDescent="0.35">
      <c r="A81" s="3"/>
      <c r="B81" s="3"/>
    </row>
    <row r="82" spans="1:2" x14ac:dyDescent="0.35">
      <c r="A82" s="3"/>
      <c r="B82" s="3"/>
    </row>
    <row r="83" spans="1:2" x14ac:dyDescent="0.35">
      <c r="A83" s="3"/>
      <c r="B83" s="3"/>
    </row>
    <row r="84" spans="1:2" x14ac:dyDescent="0.35">
      <c r="A84" s="3"/>
      <c r="B84" s="3"/>
    </row>
    <row r="85" spans="1:2" x14ac:dyDescent="0.35">
      <c r="A85" s="3"/>
      <c r="B85" s="3"/>
    </row>
    <row r="86" spans="1:2" x14ac:dyDescent="0.35">
      <c r="A86" s="3"/>
      <c r="B86" s="3"/>
    </row>
    <row r="87" spans="1:2" x14ac:dyDescent="0.35">
      <c r="A87" s="3"/>
      <c r="B87" s="3"/>
    </row>
    <row r="88" spans="1:2" x14ac:dyDescent="0.35">
      <c r="A88" s="3"/>
      <c r="B88" s="3"/>
    </row>
    <row r="89" spans="1:2" x14ac:dyDescent="0.35">
      <c r="A89" s="3"/>
      <c r="B89" s="3"/>
    </row>
    <row r="90" spans="1:2" x14ac:dyDescent="0.35">
      <c r="A90" s="3"/>
      <c r="B90" s="3"/>
    </row>
    <row r="91" spans="1:2" x14ac:dyDescent="0.35">
      <c r="A91" s="3"/>
      <c r="B91" s="3"/>
    </row>
    <row r="92" spans="1:2" x14ac:dyDescent="0.35">
      <c r="A92" s="3"/>
      <c r="B92" s="3"/>
    </row>
    <row r="93" spans="1:2" x14ac:dyDescent="0.35">
      <c r="A93" s="3"/>
      <c r="B93" s="3"/>
    </row>
    <row r="94" spans="1:2" x14ac:dyDescent="0.35">
      <c r="A94" s="3"/>
      <c r="B94" s="3"/>
    </row>
    <row r="95" spans="1:2" x14ac:dyDescent="0.35">
      <c r="A95" s="3"/>
      <c r="B95" s="3"/>
    </row>
    <row r="96" spans="1:2" x14ac:dyDescent="0.35">
      <c r="A96" s="3"/>
      <c r="B96" s="3"/>
    </row>
    <row r="97" spans="1:2" x14ac:dyDescent="0.35">
      <c r="A97" s="3"/>
      <c r="B97" s="3"/>
    </row>
    <row r="98" spans="1:2" x14ac:dyDescent="0.35">
      <c r="A98" s="3"/>
      <c r="B98" s="3"/>
    </row>
    <row r="99" spans="1:2" x14ac:dyDescent="0.35">
      <c r="A99" s="3"/>
      <c r="B99" s="3"/>
    </row>
    <row r="100" spans="1:2" x14ac:dyDescent="0.35">
      <c r="A100" s="3"/>
      <c r="B100" s="3"/>
    </row>
    <row r="101" spans="1:2" x14ac:dyDescent="0.35">
      <c r="A101" s="3"/>
      <c r="B101" s="3"/>
    </row>
    <row r="102" spans="1:2" x14ac:dyDescent="0.35">
      <c r="A102" s="3"/>
      <c r="B102" s="3"/>
    </row>
    <row r="103" spans="1:2" x14ac:dyDescent="0.35">
      <c r="A103" s="3"/>
      <c r="B103" s="3"/>
    </row>
    <row r="104" spans="1:2" x14ac:dyDescent="0.35">
      <c r="A104" s="3"/>
      <c r="B104" s="3"/>
    </row>
    <row r="105" spans="1:2" x14ac:dyDescent="0.35">
      <c r="A105" s="3"/>
      <c r="B105" s="3"/>
    </row>
    <row r="106" spans="1:2" x14ac:dyDescent="0.35">
      <c r="A106" s="3"/>
      <c r="B106" s="3"/>
    </row>
    <row r="107" spans="1:2" x14ac:dyDescent="0.35">
      <c r="A107" s="3"/>
      <c r="B107" s="3"/>
    </row>
    <row r="108" spans="1:2" x14ac:dyDescent="0.35">
      <c r="A108" s="3"/>
      <c r="B108" s="3"/>
    </row>
    <row r="109" spans="1:2" x14ac:dyDescent="0.35">
      <c r="A109" s="3"/>
      <c r="B109" s="3"/>
    </row>
    <row r="110" spans="1:2" x14ac:dyDescent="0.35">
      <c r="A110" s="3"/>
      <c r="B110" s="3"/>
    </row>
    <row r="111" spans="1:2" x14ac:dyDescent="0.35">
      <c r="A111" s="3"/>
      <c r="B111" s="3"/>
    </row>
    <row r="112" spans="1:2" x14ac:dyDescent="0.35">
      <c r="A112" s="3"/>
      <c r="B112" s="3"/>
    </row>
    <row r="113" spans="1:2" x14ac:dyDescent="0.35">
      <c r="A113" s="3"/>
      <c r="B113" s="3"/>
    </row>
    <row r="114" spans="1:2" x14ac:dyDescent="0.35">
      <c r="A114" s="3"/>
      <c r="B114" s="3"/>
    </row>
    <row r="115" spans="1:2" x14ac:dyDescent="0.35">
      <c r="A115" s="3"/>
      <c r="B115" s="3"/>
    </row>
    <row r="116" spans="1:2" x14ac:dyDescent="0.35">
      <c r="A116" s="3"/>
      <c r="B116" s="3"/>
    </row>
    <row r="117" spans="1:2" x14ac:dyDescent="0.35">
      <c r="A117" s="3"/>
      <c r="B117" s="3"/>
    </row>
    <row r="118" spans="1:2" x14ac:dyDescent="0.35">
      <c r="A118" s="3"/>
      <c r="B118" s="3"/>
    </row>
    <row r="119" spans="1:2" x14ac:dyDescent="0.35">
      <c r="A119" s="3"/>
      <c r="B119" s="3"/>
    </row>
    <row r="120" spans="1:2" x14ac:dyDescent="0.35">
      <c r="A120" s="3"/>
      <c r="B120" s="3"/>
    </row>
    <row r="121" spans="1:2" x14ac:dyDescent="0.35">
      <c r="A121" s="3"/>
      <c r="B121" s="3"/>
    </row>
    <row r="122" spans="1:2" x14ac:dyDescent="0.35">
      <c r="A122" s="3"/>
      <c r="B122" s="3"/>
    </row>
    <row r="123" spans="1:2" x14ac:dyDescent="0.35">
      <c r="A123" s="3"/>
      <c r="B123" s="3"/>
    </row>
    <row r="124" spans="1:2" x14ac:dyDescent="0.35">
      <c r="A124" s="3"/>
      <c r="B124" s="3"/>
    </row>
    <row r="125" spans="1:2" x14ac:dyDescent="0.35">
      <c r="A125" s="3"/>
      <c r="B125" s="3"/>
    </row>
    <row r="126" spans="1:2" x14ac:dyDescent="0.35">
      <c r="A126" s="3"/>
      <c r="B126" s="3"/>
    </row>
    <row r="127" spans="1:2" x14ac:dyDescent="0.35">
      <c r="A127" s="3"/>
      <c r="B127" s="3"/>
    </row>
    <row r="128" spans="1:2" x14ac:dyDescent="0.35">
      <c r="A128" s="3"/>
      <c r="B128" s="3"/>
    </row>
    <row r="129" spans="1:2" x14ac:dyDescent="0.35">
      <c r="A129" s="3"/>
      <c r="B129" s="3"/>
    </row>
    <row r="130" spans="1:2" x14ac:dyDescent="0.35">
      <c r="A130" s="3"/>
      <c r="B130" s="3"/>
    </row>
    <row r="131" spans="1:2" x14ac:dyDescent="0.35">
      <c r="A131" s="3"/>
      <c r="B131" s="3"/>
    </row>
    <row r="132" spans="1:2" x14ac:dyDescent="0.35">
      <c r="A132" s="3"/>
      <c r="B132" s="3"/>
    </row>
    <row r="133" spans="1:2" x14ac:dyDescent="0.35">
      <c r="A133" s="3"/>
      <c r="B133" s="3"/>
    </row>
    <row r="134" spans="1:2" x14ac:dyDescent="0.35">
      <c r="A134" s="3"/>
      <c r="B134" s="3"/>
    </row>
    <row r="135" spans="1:2" x14ac:dyDescent="0.35">
      <c r="A135" s="3"/>
      <c r="B135" s="3"/>
    </row>
    <row r="136" spans="1:2" x14ac:dyDescent="0.35">
      <c r="A136" s="3"/>
      <c r="B136" s="3"/>
    </row>
    <row r="137" spans="1:2" x14ac:dyDescent="0.35">
      <c r="A137" s="3"/>
      <c r="B137" s="3"/>
    </row>
    <row r="138" spans="1:2" x14ac:dyDescent="0.35">
      <c r="A138" s="3"/>
      <c r="B138" s="3"/>
    </row>
    <row r="139" spans="1:2" x14ac:dyDescent="0.35">
      <c r="A139" s="3"/>
      <c r="B139" s="3"/>
    </row>
    <row r="140" spans="1:2" x14ac:dyDescent="0.35">
      <c r="A140" s="3"/>
      <c r="B140" s="3"/>
    </row>
    <row r="141" spans="1:2" x14ac:dyDescent="0.35">
      <c r="A141" s="3"/>
      <c r="B141" s="3"/>
    </row>
    <row r="142" spans="1:2" x14ac:dyDescent="0.35">
      <c r="A142" s="3"/>
      <c r="B142" s="3"/>
    </row>
    <row r="143" spans="1:2" x14ac:dyDescent="0.35">
      <c r="A143" s="3"/>
      <c r="B143" s="3"/>
    </row>
    <row r="144" spans="1:2" x14ac:dyDescent="0.35">
      <c r="A144" s="3"/>
      <c r="B144" s="3"/>
    </row>
    <row r="145" spans="1:2" x14ac:dyDescent="0.35">
      <c r="A145" s="3"/>
      <c r="B145" s="3"/>
    </row>
    <row r="146" spans="1:2" x14ac:dyDescent="0.35">
      <c r="A146" s="3"/>
      <c r="B146" s="3"/>
    </row>
    <row r="147" spans="1:2" x14ac:dyDescent="0.35">
      <c r="A147" s="3"/>
      <c r="B147" s="3"/>
    </row>
    <row r="148" spans="1:2" x14ac:dyDescent="0.35">
      <c r="A148" s="3"/>
      <c r="B148" s="3"/>
    </row>
    <row r="149" spans="1:2" x14ac:dyDescent="0.35">
      <c r="A149" s="3"/>
      <c r="B149" s="3"/>
    </row>
    <row r="150" spans="1:2" x14ac:dyDescent="0.35">
      <c r="A150" s="3"/>
      <c r="B150" s="3"/>
    </row>
    <row r="151" spans="1:2" x14ac:dyDescent="0.35">
      <c r="A151" s="3"/>
      <c r="B151" s="3"/>
    </row>
    <row r="152" spans="1:2" x14ac:dyDescent="0.35">
      <c r="A152" s="3"/>
      <c r="B152" s="3"/>
    </row>
    <row r="153" spans="1:2" x14ac:dyDescent="0.35">
      <c r="A153" s="3"/>
      <c r="B153" s="3"/>
    </row>
    <row r="154" spans="1:2" x14ac:dyDescent="0.35">
      <c r="A154" s="3"/>
      <c r="B154" s="3"/>
    </row>
    <row r="155" spans="1:2" x14ac:dyDescent="0.35">
      <c r="A155" s="3"/>
      <c r="B155" s="3"/>
    </row>
    <row r="156" spans="1:2" x14ac:dyDescent="0.35">
      <c r="A156" s="3"/>
      <c r="B156" s="3"/>
    </row>
    <row r="157" spans="1:2" x14ac:dyDescent="0.35">
      <c r="A157" s="3"/>
      <c r="B157" s="3"/>
    </row>
    <row r="158" spans="1:2" x14ac:dyDescent="0.35">
      <c r="A158" s="3"/>
      <c r="B158" s="3"/>
    </row>
    <row r="159" spans="1:2" x14ac:dyDescent="0.35">
      <c r="A159" s="3"/>
      <c r="B159" s="3"/>
    </row>
    <row r="160" spans="1:2" x14ac:dyDescent="0.35">
      <c r="A160" s="3"/>
      <c r="B160" s="3"/>
    </row>
    <row r="161" spans="1:2" x14ac:dyDescent="0.35">
      <c r="A161" s="3"/>
      <c r="B161" s="3"/>
    </row>
    <row r="162" spans="1:2" x14ac:dyDescent="0.35">
      <c r="A162" s="3"/>
      <c r="B162" s="3"/>
    </row>
    <row r="163" spans="1:2" x14ac:dyDescent="0.35">
      <c r="A163" s="3"/>
      <c r="B163" s="3"/>
    </row>
    <row r="164" spans="1:2" x14ac:dyDescent="0.35">
      <c r="A164" s="3"/>
      <c r="B164" s="3"/>
    </row>
    <row r="165" spans="1:2" x14ac:dyDescent="0.35">
      <c r="A165" s="3"/>
      <c r="B165" s="3"/>
    </row>
    <row r="166" spans="1:2" x14ac:dyDescent="0.35">
      <c r="A166" s="3"/>
      <c r="B166" s="3"/>
    </row>
    <row r="167" spans="1:2" x14ac:dyDescent="0.35">
      <c r="A167" s="3"/>
      <c r="B167" s="3"/>
    </row>
    <row r="168" spans="1:2" x14ac:dyDescent="0.35">
      <c r="A168" s="3"/>
      <c r="B168" s="3"/>
    </row>
    <row r="169" spans="1:2" x14ac:dyDescent="0.35">
      <c r="A169" s="3"/>
      <c r="B169" s="3"/>
    </row>
    <row r="170" spans="1:2" x14ac:dyDescent="0.35">
      <c r="A170" s="3"/>
      <c r="B170" s="3"/>
    </row>
    <row r="171" spans="1:2" x14ac:dyDescent="0.35">
      <c r="A171" s="3"/>
      <c r="B171" s="3"/>
    </row>
    <row r="172" spans="1:2" x14ac:dyDescent="0.35">
      <c r="A172" s="3"/>
      <c r="B172" s="3"/>
    </row>
    <row r="173" spans="1:2" x14ac:dyDescent="0.35">
      <c r="A173" s="3"/>
      <c r="B173" s="3"/>
    </row>
    <row r="174" spans="1:2" x14ac:dyDescent="0.35">
      <c r="A174" s="3"/>
      <c r="B174" s="3"/>
    </row>
    <row r="175" spans="1:2" x14ac:dyDescent="0.35">
      <c r="A175" s="3"/>
      <c r="B175" s="3"/>
    </row>
    <row r="176" spans="1:2" x14ac:dyDescent="0.35">
      <c r="A176" s="3"/>
      <c r="B176" s="3"/>
    </row>
    <row r="177" spans="1:2" x14ac:dyDescent="0.35">
      <c r="A177" s="3"/>
      <c r="B177" s="3"/>
    </row>
    <row r="178" spans="1:2" x14ac:dyDescent="0.35">
      <c r="A178" s="3"/>
      <c r="B178" s="3"/>
    </row>
    <row r="179" spans="1:2" x14ac:dyDescent="0.35">
      <c r="A179" s="3"/>
      <c r="B179" s="3"/>
    </row>
    <row r="180" spans="1:2" x14ac:dyDescent="0.35">
      <c r="A180" s="3"/>
      <c r="B180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AC16-ADD1-4AB4-9356-CF851058D4B6}">
  <dimension ref="A1:N175"/>
  <sheetViews>
    <sheetView topLeftCell="A15" workbookViewId="0">
      <selection activeCell="L14" sqref="L14"/>
    </sheetView>
  </sheetViews>
  <sheetFormatPr defaultRowHeight="17.5" x14ac:dyDescent="0.35"/>
  <cols>
    <col min="1" max="1" width="22.54296875" style="1" customWidth="1"/>
    <col min="2" max="2" width="20.7265625" style="1" customWidth="1"/>
    <col min="3" max="3" width="11.7265625" style="2" customWidth="1"/>
    <col min="4" max="4" width="11.26953125" style="2" customWidth="1"/>
    <col min="5" max="5" width="10.7265625" style="2" customWidth="1"/>
    <col min="6" max="6" width="10.1796875" style="2" customWidth="1"/>
    <col min="7" max="7" width="10.81640625" style="2" customWidth="1"/>
    <col min="8" max="8" width="9.81640625" style="2" customWidth="1"/>
    <col min="9" max="9" width="10.1796875" style="5" customWidth="1"/>
    <col min="10" max="10" width="9.54296875" style="5" customWidth="1"/>
    <col min="11" max="11" width="14.453125" style="5" customWidth="1"/>
    <col min="12" max="12" width="13.1796875" style="5" customWidth="1"/>
    <col min="13" max="13" width="13.81640625" style="5" customWidth="1"/>
    <col min="14" max="14" width="16.81640625" style="11" customWidth="1"/>
  </cols>
  <sheetData>
    <row r="1" spans="1:14" x14ac:dyDescent="0.35">
      <c r="A1" s="1" t="s">
        <v>0</v>
      </c>
      <c r="B1" s="1" t="s">
        <v>1</v>
      </c>
      <c r="C1" s="2" t="s">
        <v>135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12" t="s">
        <v>8</v>
      </c>
    </row>
    <row r="2" spans="1:14" x14ac:dyDescent="0.35">
      <c r="A2" s="3" t="s">
        <v>9</v>
      </c>
      <c r="B2" s="3" t="s">
        <v>10</v>
      </c>
      <c r="I2" s="4"/>
      <c r="K2" s="4"/>
      <c r="L2" s="4"/>
      <c r="M2" s="4"/>
    </row>
    <row r="3" spans="1:14" x14ac:dyDescent="0.35">
      <c r="A3" s="3" t="s">
        <v>13</v>
      </c>
      <c r="B3" s="3" t="s">
        <v>10</v>
      </c>
      <c r="N3" s="11">
        <v>70</v>
      </c>
    </row>
    <row r="4" spans="1:14" x14ac:dyDescent="0.35">
      <c r="A4" s="3" t="s">
        <v>12</v>
      </c>
      <c r="B4" s="3" t="s">
        <v>10</v>
      </c>
    </row>
    <row r="5" spans="1:14" x14ac:dyDescent="0.35">
      <c r="A5" s="3" t="s">
        <v>15</v>
      </c>
      <c r="B5" s="3" t="s">
        <v>16</v>
      </c>
    </row>
    <row r="6" spans="1:14" x14ac:dyDescent="0.35">
      <c r="A6" s="3" t="s">
        <v>18</v>
      </c>
      <c r="B6" s="3" t="s">
        <v>16</v>
      </c>
    </row>
    <row r="7" spans="1:14" x14ac:dyDescent="0.35">
      <c r="A7" s="8" t="s">
        <v>20</v>
      </c>
      <c r="B7" s="8" t="s">
        <v>21</v>
      </c>
    </row>
    <row r="8" spans="1:14" x14ac:dyDescent="0.35">
      <c r="A8" s="8" t="s">
        <v>23</v>
      </c>
      <c r="B8" s="8" t="s">
        <v>21</v>
      </c>
    </row>
    <row r="9" spans="1:14" x14ac:dyDescent="0.35">
      <c r="A9" s="9" t="s">
        <v>25</v>
      </c>
      <c r="B9" s="9" t="s">
        <v>26</v>
      </c>
    </row>
    <row r="10" spans="1:14" x14ac:dyDescent="0.35">
      <c r="A10" s="3" t="s">
        <v>28</v>
      </c>
      <c r="B10" s="3" t="s">
        <v>29</v>
      </c>
    </row>
    <row r="11" spans="1:14" x14ac:dyDescent="0.35">
      <c r="A11" s="3" t="s">
        <v>31</v>
      </c>
      <c r="B11" s="3" t="s">
        <v>32</v>
      </c>
    </row>
    <row r="12" spans="1:14" x14ac:dyDescent="0.35">
      <c r="A12" s="3" t="s">
        <v>33</v>
      </c>
      <c r="B12" s="3" t="s">
        <v>34</v>
      </c>
    </row>
    <row r="13" spans="1:14" x14ac:dyDescent="0.35">
      <c r="A13" s="3" t="s">
        <v>36</v>
      </c>
      <c r="B13" s="3" t="s">
        <v>34</v>
      </c>
    </row>
    <row r="14" spans="1:14" x14ac:dyDescent="0.35">
      <c r="A14" s="3" t="s">
        <v>25</v>
      </c>
      <c r="B14" s="3" t="s">
        <v>38</v>
      </c>
    </row>
    <row r="15" spans="1:14" x14ac:dyDescent="0.35">
      <c r="A15" s="3" t="s">
        <v>141</v>
      </c>
      <c r="B15" s="3" t="s">
        <v>142</v>
      </c>
    </row>
    <row r="16" spans="1:14" x14ac:dyDescent="0.35">
      <c r="A16" s="3" t="s">
        <v>40</v>
      </c>
      <c r="B16" s="3" t="s">
        <v>41</v>
      </c>
    </row>
    <row r="17" spans="1:2" x14ac:dyDescent="0.35">
      <c r="A17" s="3" t="s">
        <v>43</v>
      </c>
      <c r="B17" s="3" t="s">
        <v>44</v>
      </c>
    </row>
    <row r="18" spans="1:2" x14ac:dyDescent="0.35">
      <c r="A18" s="3" t="s">
        <v>143</v>
      </c>
      <c r="B18" s="3" t="s">
        <v>47</v>
      </c>
    </row>
    <row r="19" spans="1:2" x14ac:dyDescent="0.35">
      <c r="A19" s="3" t="s">
        <v>48</v>
      </c>
      <c r="B19" s="3" t="s">
        <v>49</v>
      </c>
    </row>
    <row r="20" spans="1:2" x14ac:dyDescent="0.35">
      <c r="A20" s="3" t="s">
        <v>51</v>
      </c>
      <c r="B20" s="3" t="s">
        <v>49</v>
      </c>
    </row>
    <row r="21" spans="1:2" x14ac:dyDescent="0.35">
      <c r="A21" s="3" t="s">
        <v>53</v>
      </c>
      <c r="B21" s="3" t="s">
        <v>54</v>
      </c>
    </row>
    <row r="22" spans="1:2" x14ac:dyDescent="0.35">
      <c r="A22" s="3" t="s">
        <v>56</v>
      </c>
      <c r="B22" s="3" t="s">
        <v>57</v>
      </c>
    </row>
    <row r="23" spans="1:2" x14ac:dyDescent="0.35">
      <c r="A23" s="3" t="s">
        <v>59</v>
      </c>
      <c r="B23" s="3" t="s">
        <v>57</v>
      </c>
    </row>
    <row r="24" spans="1:2" x14ac:dyDescent="0.35">
      <c r="A24" s="3" t="s">
        <v>61</v>
      </c>
      <c r="B24" s="3" t="s">
        <v>62</v>
      </c>
    </row>
    <row r="25" spans="1:2" x14ac:dyDescent="0.35">
      <c r="A25" s="3" t="s">
        <v>64</v>
      </c>
      <c r="B25" s="3" t="s">
        <v>62</v>
      </c>
    </row>
    <row r="26" spans="1:2" x14ac:dyDescent="0.35">
      <c r="A26" s="3" t="s">
        <v>68</v>
      </c>
      <c r="B26" s="3" t="s">
        <v>69</v>
      </c>
    </row>
    <row r="27" spans="1:2" x14ac:dyDescent="0.35">
      <c r="A27" s="3" t="s">
        <v>70</v>
      </c>
      <c r="B27" s="3" t="s">
        <v>69</v>
      </c>
    </row>
    <row r="28" spans="1:2" x14ac:dyDescent="0.35">
      <c r="A28" s="3" t="s">
        <v>72</v>
      </c>
      <c r="B28" s="3" t="s">
        <v>69</v>
      </c>
    </row>
    <row r="29" spans="1:2" x14ac:dyDescent="0.35">
      <c r="A29" s="3" t="s">
        <v>74</v>
      </c>
      <c r="B29" s="3" t="s">
        <v>69</v>
      </c>
    </row>
    <row r="30" spans="1:2" x14ac:dyDescent="0.35">
      <c r="A30" s="3" t="s">
        <v>75</v>
      </c>
      <c r="B30" s="3" t="s">
        <v>69</v>
      </c>
    </row>
    <row r="31" spans="1:2" x14ac:dyDescent="0.35">
      <c r="A31" s="3" t="s">
        <v>77</v>
      </c>
      <c r="B31" s="3" t="s">
        <v>69</v>
      </c>
    </row>
    <row r="32" spans="1:2" x14ac:dyDescent="0.35">
      <c r="A32" s="3" t="s">
        <v>79</v>
      </c>
      <c r="B32" s="3" t="s">
        <v>69</v>
      </c>
    </row>
    <row r="33" spans="1:2" x14ac:dyDescent="0.35">
      <c r="A33" s="3" t="s">
        <v>80</v>
      </c>
      <c r="B33" s="3" t="s">
        <v>81</v>
      </c>
    </row>
    <row r="34" spans="1:2" x14ac:dyDescent="0.35">
      <c r="A34" s="3" t="s">
        <v>83</v>
      </c>
      <c r="B34" s="3" t="s">
        <v>84</v>
      </c>
    </row>
    <row r="35" spans="1:2" x14ac:dyDescent="0.35">
      <c r="A35" s="3" t="s">
        <v>86</v>
      </c>
      <c r="B35" s="3" t="s">
        <v>87</v>
      </c>
    </row>
    <row r="36" spans="1:2" x14ac:dyDescent="0.35">
      <c r="A36" s="3" t="s">
        <v>97</v>
      </c>
      <c r="B36" s="3" t="s">
        <v>98</v>
      </c>
    </row>
    <row r="37" spans="1:2" x14ac:dyDescent="0.35">
      <c r="A37" s="3" t="s">
        <v>100</v>
      </c>
      <c r="B37" s="3" t="s">
        <v>101</v>
      </c>
    </row>
    <row r="38" spans="1:2" x14ac:dyDescent="0.35">
      <c r="A38" s="3" t="s">
        <v>103</v>
      </c>
      <c r="B38" s="3" t="s">
        <v>101</v>
      </c>
    </row>
    <row r="39" spans="1:2" x14ac:dyDescent="0.35">
      <c r="A39" s="3" t="s">
        <v>105</v>
      </c>
      <c r="B39" s="3" t="s">
        <v>106</v>
      </c>
    </row>
    <row r="40" spans="1:2" x14ac:dyDescent="0.35">
      <c r="A40" s="3" t="s">
        <v>43</v>
      </c>
      <c r="B40" s="3" t="s">
        <v>106</v>
      </c>
    </row>
    <row r="41" spans="1:2" x14ac:dyDescent="0.35">
      <c r="A41" s="3" t="s">
        <v>108</v>
      </c>
      <c r="B41" s="3" t="s">
        <v>109</v>
      </c>
    </row>
    <row r="42" spans="1:2" x14ac:dyDescent="0.35">
      <c r="A42" s="3" t="s">
        <v>110</v>
      </c>
      <c r="B42" s="3" t="s">
        <v>13</v>
      </c>
    </row>
    <row r="43" spans="1:2" x14ac:dyDescent="0.35">
      <c r="A43" s="3" t="s">
        <v>115</v>
      </c>
      <c r="B43" s="3" t="s">
        <v>116</v>
      </c>
    </row>
    <row r="44" spans="1:2" x14ac:dyDescent="0.35">
      <c r="A44" s="3" t="s">
        <v>118</v>
      </c>
      <c r="B44" s="3" t="s">
        <v>119</v>
      </c>
    </row>
    <row r="45" spans="1:2" x14ac:dyDescent="0.35">
      <c r="A45" s="3" t="s">
        <v>120</v>
      </c>
      <c r="B45" s="3" t="s">
        <v>121</v>
      </c>
    </row>
    <row r="46" spans="1:2" x14ac:dyDescent="0.35">
      <c r="A46" s="3" t="s">
        <v>47</v>
      </c>
      <c r="B46" s="3" t="s">
        <v>122</v>
      </c>
    </row>
    <row r="47" spans="1:2" x14ac:dyDescent="0.35">
      <c r="A47" s="3" t="s">
        <v>124</v>
      </c>
      <c r="B47" s="3" t="s">
        <v>122</v>
      </c>
    </row>
    <row r="48" spans="1:2" x14ac:dyDescent="0.35">
      <c r="A48" s="3" t="s">
        <v>128</v>
      </c>
      <c r="B48" s="3" t="s">
        <v>129</v>
      </c>
    </row>
    <row r="49" spans="1:2" x14ac:dyDescent="0.35">
      <c r="A49" s="3" t="s">
        <v>25</v>
      </c>
      <c r="B49" s="3" t="s">
        <v>131</v>
      </c>
    </row>
    <row r="50" spans="1:2" x14ac:dyDescent="0.35">
      <c r="A50" s="3" t="s">
        <v>133</v>
      </c>
      <c r="B50" s="3" t="s">
        <v>131</v>
      </c>
    </row>
    <row r="51" spans="1:2" x14ac:dyDescent="0.35">
      <c r="A51" s="3"/>
      <c r="B51" s="3"/>
    </row>
    <row r="52" spans="1:2" x14ac:dyDescent="0.35">
      <c r="A52" s="3"/>
      <c r="B52" s="3"/>
    </row>
    <row r="53" spans="1:2" x14ac:dyDescent="0.35">
      <c r="A53" s="3"/>
      <c r="B53" s="3"/>
    </row>
    <row r="54" spans="1:2" x14ac:dyDescent="0.35">
      <c r="A54" s="3"/>
      <c r="B54" s="3"/>
    </row>
    <row r="55" spans="1:2" x14ac:dyDescent="0.35">
      <c r="A55" s="3"/>
      <c r="B55" s="3"/>
    </row>
    <row r="56" spans="1:2" x14ac:dyDescent="0.35">
      <c r="A56" s="3"/>
      <c r="B56" s="3"/>
    </row>
    <row r="57" spans="1:2" x14ac:dyDescent="0.35">
      <c r="A57" s="3"/>
      <c r="B57" s="3"/>
    </row>
    <row r="58" spans="1:2" x14ac:dyDescent="0.35">
      <c r="A58" s="3"/>
      <c r="B58" s="3"/>
    </row>
    <row r="59" spans="1:2" x14ac:dyDescent="0.35">
      <c r="A59" s="3"/>
      <c r="B59" s="3"/>
    </row>
    <row r="60" spans="1:2" x14ac:dyDescent="0.35">
      <c r="A60" s="3"/>
      <c r="B60" s="3"/>
    </row>
    <row r="61" spans="1:2" x14ac:dyDescent="0.35">
      <c r="A61" s="3"/>
      <c r="B61" s="3"/>
    </row>
    <row r="62" spans="1:2" x14ac:dyDescent="0.35">
      <c r="A62" s="3"/>
      <c r="B62" s="3"/>
    </row>
    <row r="63" spans="1:2" x14ac:dyDescent="0.35">
      <c r="A63" s="3"/>
      <c r="B63" s="3"/>
    </row>
    <row r="64" spans="1:2" x14ac:dyDescent="0.35">
      <c r="A64" s="3"/>
      <c r="B64" s="3"/>
    </row>
    <row r="65" spans="1:2" x14ac:dyDescent="0.35">
      <c r="A65" s="3"/>
      <c r="B65" s="3"/>
    </row>
    <row r="66" spans="1:2" x14ac:dyDescent="0.35">
      <c r="A66" s="3"/>
      <c r="B66" s="3"/>
    </row>
    <row r="67" spans="1:2" x14ac:dyDescent="0.35">
      <c r="A67" s="3"/>
      <c r="B67" s="3"/>
    </row>
    <row r="68" spans="1:2" x14ac:dyDescent="0.35">
      <c r="A68" s="3"/>
      <c r="B68" s="3"/>
    </row>
    <row r="69" spans="1:2" x14ac:dyDescent="0.35">
      <c r="A69" s="3"/>
      <c r="B69" s="3"/>
    </row>
    <row r="70" spans="1:2" x14ac:dyDescent="0.35">
      <c r="A70" s="3"/>
      <c r="B70" s="3"/>
    </row>
    <row r="71" spans="1:2" x14ac:dyDescent="0.35">
      <c r="A71" s="3"/>
      <c r="B71" s="3"/>
    </row>
    <row r="72" spans="1:2" x14ac:dyDescent="0.35">
      <c r="A72" s="3"/>
      <c r="B72" s="3"/>
    </row>
    <row r="73" spans="1:2" x14ac:dyDescent="0.35">
      <c r="A73" s="3"/>
      <c r="B73" s="3"/>
    </row>
    <row r="74" spans="1:2" x14ac:dyDescent="0.35">
      <c r="A74" s="3"/>
      <c r="B74" s="3"/>
    </row>
    <row r="75" spans="1:2" x14ac:dyDescent="0.35">
      <c r="A75" s="3"/>
      <c r="B75" s="3"/>
    </row>
    <row r="76" spans="1:2" x14ac:dyDescent="0.35">
      <c r="A76" s="3"/>
      <c r="B76" s="3"/>
    </row>
    <row r="77" spans="1:2" x14ac:dyDescent="0.35">
      <c r="A77" s="3"/>
      <c r="B77" s="3"/>
    </row>
    <row r="78" spans="1:2" x14ac:dyDescent="0.35">
      <c r="A78" s="3"/>
      <c r="B78" s="3"/>
    </row>
    <row r="79" spans="1:2" x14ac:dyDescent="0.35">
      <c r="A79" s="3"/>
      <c r="B79" s="3"/>
    </row>
    <row r="80" spans="1:2" x14ac:dyDescent="0.35">
      <c r="A80" s="3"/>
      <c r="B80" s="3"/>
    </row>
    <row r="81" spans="1:2" x14ac:dyDescent="0.35">
      <c r="A81" s="3"/>
      <c r="B81" s="3"/>
    </row>
    <row r="82" spans="1:2" x14ac:dyDescent="0.35">
      <c r="A82" s="3"/>
      <c r="B82" s="3"/>
    </row>
    <row r="83" spans="1:2" x14ac:dyDescent="0.35">
      <c r="A83" s="3"/>
      <c r="B83" s="3"/>
    </row>
    <row r="84" spans="1:2" x14ac:dyDescent="0.35">
      <c r="A84" s="3"/>
      <c r="B84" s="3"/>
    </row>
    <row r="85" spans="1:2" x14ac:dyDescent="0.35">
      <c r="A85" s="3"/>
      <c r="B85" s="3"/>
    </row>
    <row r="86" spans="1:2" x14ac:dyDescent="0.35">
      <c r="A86" s="3"/>
      <c r="B86" s="3"/>
    </row>
    <row r="87" spans="1:2" x14ac:dyDescent="0.35">
      <c r="A87" s="3"/>
      <c r="B87" s="3"/>
    </row>
    <row r="88" spans="1:2" x14ac:dyDescent="0.35">
      <c r="A88" s="3"/>
      <c r="B88" s="3"/>
    </row>
    <row r="89" spans="1:2" x14ac:dyDescent="0.35">
      <c r="A89" s="3"/>
      <c r="B89" s="3"/>
    </row>
    <row r="90" spans="1:2" x14ac:dyDescent="0.35">
      <c r="A90" s="3"/>
      <c r="B90" s="3"/>
    </row>
    <row r="91" spans="1:2" x14ac:dyDescent="0.35">
      <c r="A91" s="3"/>
      <c r="B91" s="3"/>
    </row>
    <row r="92" spans="1:2" x14ac:dyDescent="0.35">
      <c r="A92" s="3"/>
      <c r="B92" s="3"/>
    </row>
    <row r="93" spans="1:2" x14ac:dyDescent="0.35">
      <c r="A93" s="3"/>
      <c r="B93" s="3"/>
    </row>
    <row r="94" spans="1:2" x14ac:dyDescent="0.35">
      <c r="A94" s="3"/>
      <c r="B94" s="3"/>
    </row>
    <row r="95" spans="1:2" x14ac:dyDescent="0.35">
      <c r="A95" s="3"/>
      <c r="B95" s="3"/>
    </row>
    <row r="96" spans="1:2" x14ac:dyDescent="0.35">
      <c r="A96" s="3"/>
      <c r="B96" s="3"/>
    </row>
    <row r="97" spans="1:2" x14ac:dyDescent="0.35">
      <c r="A97" s="3"/>
      <c r="B97" s="3"/>
    </row>
    <row r="98" spans="1:2" x14ac:dyDescent="0.35">
      <c r="A98" s="3"/>
      <c r="B98" s="3"/>
    </row>
    <row r="99" spans="1:2" x14ac:dyDescent="0.35">
      <c r="A99" s="3"/>
      <c r="B99" s="3"/>
    </row>
    <row r="100" spans="1:2" x14ac:dyDescent="0.35">
      <c r="A100" s="3"/>
      <c r="B100" s="3"/>
    </row>
    <row r="101" spans="1:2" x14ac:dyDescent="0.35">
      <c r="A101" s="3"/>
      <c r="B101" s="3"/>
    </row>
    <row r="102" spans="1:2" x14ac:dyDescent="0.35">
      <c r="A102" s="3"/>
      <c r="B102" s="3"/>
    </row>
    <row r="103" spans="1:2" x14ac:dyDescent="0.35">
      <c r="A103" s="3"/>
      <c r="B103" s="3"/>
    </row>
    <row r="104" spans="1:2" x14ac:dyDescent="0.35">
      <c r="A104" s="3"/>
      <c r="B104" s="3"/>
    </row>
    <row r="105" spans="1:2" x14ac:dyDescent="0.35">
      <c r="A105" s="3"/>
      <c r="B105" s="3"/>
    </row>
    <row r="106" spans="1:2" x14ac:dyDescent="0.35">
      <c r="A106" s="3"/>
      <c r="B106" s="3"/>
    </row>
    <row r="107" spans="1:2" x14ac:dyDescent="0.35">
      <c r="A107" s="3"/>
      <c r="B107" s="3"/>
    </row>
    <row r="108" spans="1:2" x14ac:dyDescent="0.35">
      <c r="A108" s="3"/>
      <c r="B108" s="3"/>
    </row>
    <row r="109" spans="1:2" x14ac:dyDescent="0.35">
      <c r="A109" s="3"/>
      <c r="B109" s="3"/>
    </row>
    <row r="110" spans="1:2" x14ac:dyDescent="0.35">
      <c r="A110" s="3"/>
      <c r="B110" s="3"/>
    </row>
    <row r="111" spans="1:2" x14ac:dyDescent="0.35">
      <c r="A111" s="3"/>
      <c r="B111" s="3"/>
    </row>
    <row r="112" spans="1:2" x14ac:dyDescent="0.35">
      <c r="A112" s="3"/>
      <c r="B112" s="3"/>
    </row>
    <row r="113" spans="1:2" x14ac:dyDescent="0.35">
      <c r="A113" s="3"/>
      <c r="B113" s="3"/>
    </row>
    <row r="114" spans="1:2" x14ac:dyDescent="0.35">
      <c r="A114" s="3"/>
      <c r="B114" s="3"/>
    </row>
    <row r="115" spans="1:2" x14ac:dyDescent="0.35">
      <c r="A115" s="3"/>
      <c r="B115" s="3"/>
    </row>
    <row r="116" spans="1:2" x14ac:dyDescent="0.35">
      <c r="A116" s="3"/>
      <c r="B116" s="3"/>
    </row>
    <row r="117" spans="1:2" x14ac:dyDescent="0.35">
      <c r="A117" s="3"/>
      <c r="B117" s="3"/>
    </row>
    <row r="118" spans="1:2" x14ac:dyDescent="0.35">
      <c r="A118" s="3"/>
      <c r="B118" s="3"/>
    </row>
    <row r="119" spans="1:2" x14ac:dyDescent="0.35">
      <c r="A119" s="3"/>
      <c r="B119" s="3"/>
    </row>
    <row r="120" spans="1:2" x14ac:dyDescent="0.35">
      <c r="A120" s="3"/>
      <c r="B120" s="3"/>
    </row>
    <row r="121" spans="1:2" x14ac:dyDescent="0.35">
      <c r="A121" s="3"/>
      <c r="B121" s="3"/>
    </row>
    <row r="122" spans="1:2" x14ac:dyDescent="0.35">
      <c r="A122" s="3"/>
      <c r="B122" s="3"/>
    </row>
    <row r="123" spans="1:2" x14ac:dyDescent="0.35">
      <c r="A123" s="3"/>
      <c r="B123" s="3"/>
    </row>
    <row r="124" spans="1:2" x14ac:dyDescent="0.35">
      <c r="A124" s="3"/>
      <c r="B124" s="3"/>
    </row>
    <row r="125" spans="1:2" x14ac:dyDescent="0.35">
      <c r="A125" s="3"/>
      <c r="B125" s="3"/>
    </row>
    <row r="126" spans="1:2" x14ac:dyDescent="0.35">
      <c r="A126" s="3"/>
      <c r="B126" s="3"/>
    </row>
    <row r="127" spans="1:2" x14ac:dyDescent="0.35">
      <c r="A127" s="3"/>
      <c r="B127" s="3"/>
    </row>
    <row r="128" spans="1:2" x14ac:dyDescent="0.35">
      <c r="A128" s="3"/>
      <c r="B128" s="3"/>
    </row>
    <row r="129" spans="1:2" x14ac:dyDescent="0.35">
      <c r="A129" s="3"/>
      <c r="B129" s="3"/>
    </row>
    <row r="130" spans="1:2" x14ac:dyDescent="0.35">
      <c r="A130" s="3"/>
      <c r="B130" s="3"/>
    </row>
    <row r="131" spans="1:2" x14ac:dyDescent="0.35">
      <c r="A131" s="3"/>
      <c r="B131" s="3"/>
    </row>
    <row r="132" spans="1:2" x14ac:dyDescent="0.35">
      <c r="A132" s="3"/>
      <c r="B132" s="3"/>
    </row>
    <row r="133" spans="1:2" x14ac:dyDescent="0.35">
      <c r="A133" s="3"/>
      <c r="B133" s="3"/>
    </row>
    <row r="134" spans="1:2" x14ac:dyDescent="0.35">
      <c r="A134" s="3"/>
      <c r="B134" s="3"/>
    </row>
    <row r="135" spans="1:2" x14ac:dyDescent="0.35">
      <c r="A135" s="3"/>
      <c r="B135" s="3"/>
    </row>
    <row r="136" spans="1:2" x14ac:dyDescent="0.35">
      <c r="A136" s="3"/>
      <c r="B136" s="3"/>
    </row>
    <row r="137" spans="1:2" x14ac:dyDescent="0.35">
      <c r="A137" s="3"/>
      <c r="B137" s="3"/>
    </row>
    <row r="138" spans="1:2" x14ac:dyDescent="0.35">
      <c r="A138" s="3"/>
      <c r="B138" s="3"/>
    </row>
    <row r="139" spans="1:2" x14ac:dyDescent="0.35">
      <c r="A139" s="3"/>
      <c r="B139" s="3"/>
    </row>
    <row r="140" spans="1:2" x14ac:dyDescent="0.35">
      <c r="A140" s="3"/>
      <c r="B140" s="3"/>
    </row>
    <row r="141" spans="1:2" x14ac:dyDescent="0.35">
      <c r="A141" s="3"/>
      <c r="B141" s="3"/>
    </row>
    <row r="142" spans="1:2" x14ac:dyDescent="0.35">
      <c r="A142" s="3"/>
      <c r="B142" s="3"/>
    </row>
    <row r="143" spans="1:2" x14ac:dyDescent="0.35">
      <c r="A143" s="3"/>
      <c r="B143" s="3"/>
    </row>
    <row r="144" spans="1:2" x14ac:dyDescent="0.35">
      <c r="A144" s="3"/>
      <c r="B144" s="3"/>
    </row>
    <row r="145" spans="1:2" x14ac:dyDescent="0.35">
      <c r="A145" s="3"/>
      <c r="B145" s="3"/>
    </row>
    <row r="146" spans="1:2" x14ac:dyDescent="0.35">
      <c r="A146" s="3"/>
      <c r="B146" s="3"/>
    </row>
    <row r="147" spans="1:2" x14ac:dyDescent="0.35">
      <c r="A147" s="3"/>
      <c r="B147" s="3"/>
    </row>
    <row r="148" spans="1:2" x14ac:dyDescent="0.35">
      <c r="A148" s="3"/>
      <c r="B148" s="3"/>
    </row>
    <row r="149" spans="1:2" x14ac:dyDescent="0.35">
      <c r="A149" s="3"/>
      <c r="B149" s="3"/>
    </row>
    <row r="150" spans="1:2" x14ac:dyDescent="0.35">
      <c r="A150" s="3"/>
      <c r="B150" s="3"/>
    </row>
    <row r="151" spans="1:2" x14ac:dyDescent="0.35">
      <c r="A151" s="3"/>
      <c r="B151" s="3"/>
    </row>
    <row r="152" spans="1:2" x14ac:dyDescent="0.35">
      <c r="A152" s="3"/>
      <c r="B152" s="3"/>
    </row>
    <row r="153" spans="1:2" x14ac:dyDescent="0.35">
      <c r="A153" s="3"/>
      <c r="B153" s="3"/>
    </row>
    <row r="154" spans="1:2" x14ac:dyDescent="0.35">
      <c r="A154" s="3"/>
      <c r="B154" s="3"/>
    </row>
    <row r="155" spans="1:2" x14ac:dyDescent="0.35">
      <c r="A155" s="3"/>
      <c r="B155" s="3"/>
    </row>
    <row r="156" spans="1:2" x14ac:dyDescent="0.35">
      <c r="A156" s="3"/>
      <c r="B156" s="3"/>
    </row>
    <row r="157" spans="1:2" x14ac:dyDescent="0.35">
      <c r="A157" s="3"/>
      <c r="B157" s="3"/>
    </row>
    <row r="158" spans="1:2" x14ac:dyDescent="0.35">
      <c r="A158" s="3"/>
      <c r="B158" s="3"/>
    </row>
    <row r="159" spans="1:2" x14ac:dyDescent="0.35">
      <c r="A159" s="3"/>
      <c r="B159" s="3"/>
    </row>
    <row r="160" spans="1:2" x14ac:dyDescent="0.35">
      <c r="A160" s="3"/>
      <c r="B160" s="3"/>
    </row>
    <row r="161" spans="1:2" x14ac:dyDescent="0.35">
      <c r="A161" s="3"/>
      <c r="B161" s="3"/>
    </row>
    <row r="162" spans="1:2" x14ac:dyDescent="0.35">
      <c r="A162" s="3"/>
      <c r="B162" s="3"/>
    </row>
    <row r="163" spans="1:2" x14ac:dyDescent="0.35">
      <c r="A163" s="3"/>
      <c r="B163" s="3"/>
    </row>
    <row r="164" spans="1:2" x14ac:dyDescent="0.35">
      <c r="A164" s="3"/>
      <c r="B164" s="3"/>
    </row>
    <row r="165" spans="1:2" x14ac:dyDescent="0.35">
      <c r="A165" s="3"/>
      <c r="B165" s="3"/>
    </row>
    <row r="166" spans="1:2" x14ac:dyDescent="0.35">
      <c r="A166" s="3"/>
      <c r="B166" s="3"/>
    </row>
    <row r="167" spans="1:2" x14ac:dyDescent="0.35">
      <c r="A167" s="3"/>
      <c r="B167" s="3"/>
    </row>
    <row r="168" spans="1:2" x14ac:dyDescent="0.35">
      <c r="A168" s="3"/>
      <c r="B168" s="3"/>
    </row>
    <row r="169" spans="1:2" x14ac:dyDescent="0.35">
      <c r="A169" s="3"/>
      <c r="B169" s="3"/>
    </row>
    <row r="170" spans="1:2" x14ac:dyDescent="0.35">
      <c r="A170" s="3"/>
      <c r="B170" s="3"/>
    </row>
    <row r="171" spans="1:2" x14ac:dyDescent="0.35">
      <c r="A171" s="3"/>
      <c r="B171" s="3"/>
    </row>
    <row r="172" spans="1:2" x14ac:dyDescent="0.35">
      <c r="A172" s="3"/>
      <c r="B172" s="3"/>
    </row>
    <row r="173" spans="1:2" x14ac:dyDescent="0.35">
      <c r="A173" s="3"/>
      <c r="B173" s="3"/>
    </row>
    <row r="174" spans="1:2" x14ac:dyDescent="0.35">
      <c r="A174" s="3"/>
      <c r="B174" s="3"/>
    </row>
    <row r="175" spans="1:2" x14ac:dyDescent="0.35">
      <c r="A175" s="3"/>
      <c r="B17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2CE2-EB31-47B6-8F19-BF2DE57D7E48}">
  <dimension ref="A1:O174"/>
  <sheetViews>
    <sheetView topLeftCell="A36" workbookViewId="0">
      <selection activeCell="O19" sqref="O19"/>
    </sheetView>
  </sheetViews>
  <sheetFormatPr defaultRowHeight="17.5" x14ac:dyDescent="0.35"/>
  <cols>
    <col min="1" max="1" width="22.54296875" style="1" customWidth="1"/>
    <col min="2" max="2" width="20.7265625" style="1" customWidth="1"/>
    <col min="3" max="3" width="11.7265625" style="2" customWidth="1"/>
    <col min="4" max="4" width="11.26953125" style="2" customWidth="1"/>
    <col min="5" max="5" width="10.7265625" style="2" customWidth="1"/>
    <col min="6" max="6" width="10.1796875" style="2" customWidth="1"/>
    <col min="7" max="7" width="10.81640625" style="2" customWidth="1"/>
    <col min="8" max="8" width="9.81640625" style="2" customWidth="1"/>
    <col min="9" max="9" width="10.1796875" style="5" customWidth="1"/>
    <col min="10" max="10" width="9.54296875" style="5" customWidth="1"/>
    <col min="11" max="11" width="14.453125" style="5" customWidth="1"/>
    <col min="12" max="12" width="13.1796875" style="5" customWidth="1"/>
    <col min="13" max="13" width="13.81640625" style="5" customWidth="1"/>
    <col min="15" max="15" width="18.7265625" style="11" customWidth="1"/>
  </cols>
  <sheetData>
    <row r="1" spans="1:15" x14ac:dyDescent="0.35">
      <c r="A1" s="1" t="s">
        <v>0</v>
      </c>
      <c r="B1" s="1" t="s">
        <v>1</v>
      </c>
      <c r="C1" s="2" t="s">
        <v>135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12" t="s">
        <v>144</v>
      </c>
      <c r="O1" s="10" t="s">
        <v>145</v>
      </c>
    </row>
    <row r="2" spans="1:15" x14ac:dyDescent="0.35">
      <c r="A2" s="3" t="s">
        <v>9</v>
      </c>
      <c r="B2" s="3" t="s">
        <v>10</v>
      </c>
      <c r="K2" s="5">
        <v>50</v>
      </c>
      <c r="L2" s="5">
        <v>110</v>
      </c>
      <c r="O2" s="11">
        <v>70</v>
      </c>
    </row>
    <row r="3" spans="1:15" x14ac:dyDescent="0.35">
      <c r="A3" s="3" t="s">
        <v>146</v>
      </c>
      <c r="B3" s="3" t="s">
        <v>10</v>
      </c>
      <c r="I3" s="4"/>
      <c r="K3" s="4"/>
      <c r="L3" s="4"/>
      <c r="M3" s="4"/>
    </row>
    <row r="4" spans="1:15" x14ac:dyDescent="0.35">
      <c r="A4" s="3" t="s">
        <v>13</v>
      </c>
      <c r="B4" s="3" t="s">
        <v>10</v>
      </c>
      <c r="L4" s="5">
        <v>80</v>
      </c>
      <c r="O4" s="11">
        <v>50</v>
      </c>
    </row>
    <row r="5" spans="1:15" x14ac:dyDescent="0.35">
      <c r="A5" s="3" t="s">
        <v>15</v>
      </c>
      <c r="B5" s="3" t="s">
        <v>16</v>
      </c>
    </row>
    <row r="6" spans="1:15" x14ac:dyDescent="0.35">
      <c r="A6" s="3" t="s">
        <v>18</v>
      </c>
      <c r="B6" s="3" t="s">
        <v>16</v>
      </c>
      <c r="K6" s="5">
        <v>100</v>
      </c>
    </row>
    <row r="7" spans="1:15" x14ac:dyDescent="0.35">
      <c r="A7" s="3" t="s">
        <v>28</v>
      </c>
      <c r="B7" s="3" t="s">
        <v>29</v>
      </c>
    </row>
    <row r="8" spans="1:15" x14ac:dyDescent="0.35">
      <c r="A8" s="3" t="s">
        <v>31</v>
      </c>
      <c r="B8" s="3" t="s">
        <v>32</v>
      </c>
    </row>
    <row r="9" spans="1:15" x14ac:dyDescent="0.35">
      <c r="A9" s="3" t="s">
        <v>33</v>
      </c>
      <c r="B9" s="3" t="s">
        <v>34</v>
      </c>
      <c r="K9" s="5">
        <v>240</v>
      </c>
    </row>
    <row r="10" spans="1:15" x14ac:dyDescent="0.35">
      <c r="A10" s="3" t="s">
        <v>36</v>
      </c>
      <c r="B10" s="3" t="s">
        <v>34</v>
      </c>
    </row>
    <row r="11" spans="1:15" x14ac:dyDescent="0.35">
      <c r="A11" s="3" t="s">
        <v>25</v>
      </c>
      <c r="B11" s="3" t="s">
        <v>38</v>
      </c>
      <c r="K11" s="5">
        <v>40</v>
      </c>
      <c r="M11" s="5">
        <v>10</v>
      </c>
    </row>
    <row r="12" spans="1:15" x14ac:dyDescent="0.35">
      <c r="A12" s="3" t="s">
        <v>147</v>
      </c>
      <c r="B12" s="3" t="s">
        <v>142</v>
      </c>
    </row>
    <row r="13" spans="1:15" x14ac:dyDescent="0.35">
      <c r="A13" s="3" t="s">
        <v>148</v>
      </c>
      <c r="B13" s="3" t="s">
        <v>147</v>
      </c>
      <c r="E13" s="2" t="s">
        <v>149</v>
      </c>
      <c r="J13" s="5">
        <v>20</v>
      </c>
      <c r="K13" s="5">
        <v>20</v>
      </c>
      <c r="L13" s="5">
        <v>20</v>
      </c>
      <c r="M13" s="5">
        <v>20</v>
      </c>
      <c r="N13" s="13">
        <v>20</v>
      </c>
    </row>
    <row r="14" spans="1:15" x14ac:dyDescent="0.35">
      <c r="A14" s="3" t="s">
        <v>40</v>
      </c>
      <c r="B14" s="3" t="s">
        <v>41</v>
      </c>
    </row>
    <row r="15" spans="1:15" x14ac:dyDescent="0.35">
      <c r="A15" s="3" t="s">
        <v>43</v>
      </c>
      <c r="B15" s="3" t="s">
        <v>44</v>
      </c>
      <c r="K15" s="5">
        <v>50</v>
      </c>
    </row>
    <row r="16" spans="1:15" x14ac:dyDescent="0.35">
      <c r="A16" s="3" t="s">
        <v>143</v>
      </c>
      <c r="B16" s="3" t="s">
        <v>47</v>
      </c>
      <c r="M16" s="5">
        <v>50</v>
      </c>
    </row>
    <row r="17" spans="1:15" x14ac:dyDescent="0.35">
      <c r="A17" s="3" t="s">
        <v>48</v>
      </c>
      <c r="B17" s="3" t="s">
        <v>49</v>
      </c>
    </row>
    <row r="18" spans="1:15" x14ac:dyDescent="0.35">
      <c r="A18" s="3" t="s">
        <v>51</v>
      </c>
      <c r="B18" s="3" t="s">
        <v>49</v>
      </c>
      <c r="L18" s="5">
        <v>200</v>
      </c>
    </row>
    <row r="19" spans="1:15" x14ac:dyDescent="0.35">
      <c r="A19" s="3" t="s">
        <v>53</v>
      </c>
      <c r="B19" s="3" t="s">
        <v>54</v>
      </c>
      <c r="K19" s="5">
        <v>10</v>
      </c>
      <c r="L19" s="5">
        <v>20</v>
      </c>
      <c r="O19" s="11">
        <v>160</v>
      </c>
    </row>
    <row r="20" spans="1:15" x14ac:dyDescent="0.35">
      <c r="A20" s="3" t="s">
        <v>150</v>
      </c>
      <c r="B20" s="3" t="s">
        <v>151</v>
      </c>
      <c r="M20" s="5">
        <v>10</v>
      </c>
    </row>
    <row r="21" spans="1:15" x14ac:dyDescent="0.35">
      <c r="A21" s="3" t="s">
        <v>56</v>
      </c>
      <c r="B21" s="3" t="s">
        <v>57</v>
      </c>
    </row>
    <row r="22" spans="1:15" x14ac:dyDescent="0.35">
      <c r="A22" s="3" t="s">
        <v>59</v>
      </c>
      <c r="B22" s="3" t="s">
        <v>57</v>
      </c>
      <c r="I22" s="5">
        <v>100</v>
      </c>
    </row>
    <row r="23" spans="1:15" x14ac:dyDescent="0.35">
      <c r="A23" s="3" t="s">
        <v>61</v>
      </c>
      <c r="B23" s="3" t="s">
        <v>62</v>
      </c>
    </row>
    <row r="24" spans="1:15" x14ac:dyDescent="0.35">
      <c r="A24" s="3" t="s">
        <v>64</v>
      </c>
      <c r="B24" s="3" t="s">
        <v>62</v>
      </c>
      <c r="L24" s="5">
        <v>100</v>
      </c>
      <c r="O24" s="11">
        <v>60</v>
      </c>
    </row>
    <row r="25" spans="1:15" x14ac:dyDescent="0.35">
      <c r="A25" s="3" t="s">
        <v>152</v>
      </c>
      <c r="B25" s="3" t="s">
        <v>69</v>
      </c>
    </row>
    <row r="26" spans="1:15" x14ac:dyDescent="0.35">
      <c r="A26" s="3" t="s">
        <v>68</v>
      </c>
      <c r="B26" s="3" t="s">
        <v>69</v>
      </c>
      <c r="J26" s="5">
        <v>10</v>
      </c>
      <c r="K26" s="5">
        <v>90</v>
      </c>
    </row>
    <row r="27" spans="1:15" x14ac:dyDescent="0.35">
      <c r="A27" s="3" t="s">
        <v>70</v>
      </c>
      <c r="B27" s="3" t="s">
        <v>69</v>
      </c>
      <c r="M27" s="5">
        <v>100</v>
      </c>
    </row>
    <row r="28" spans="1:15" x14ac:dyDescent="0.35">
      <c r="A28" s="3" t="s">
        <v>72</v>
      </c>
      <c r="B28" s="3" t="s">
        <v>69</v>
      </c>
      <c r="L28" s="5">
        <v>70</v>
      </c>
    </row>
    <row r="29" spans="1:15" x14ac:dyDescent="0.35">
      <c r="A29" s="3" t="s">
        <v>74</v>
      </c>
      <c r="B29" s="3" t="s">
        <v>69</v>
      </c>
      <c r="K29" s="5">
        <v>10</v>
      </c>
      <c r="L29" s="5">
        <v>40</v>
      </c>
    </row>
    <row r="30" spans="1:15" x14ac:dyDescent="0.35">
      <c r="A30" s="3" t="s">
        <v>75</v>
      </c>
      <c r="B30" s="3" t="s">
        <v>69</v>
      </c>
    </row>
    <row r="31" spans="1:15" x14ac:dyDescent="0.35">
      <c r="A31" s="3" t="s">
        <v>77</v>
      </c>
      <c r="B31" s="3" t="s">
        <v>69</v>
      </c>
      <c r="L31" s="5">
        <v>50</v>
      </c>
    </row>
    <row r="32" spans="1:15" x14ac:dyDescent="0.35">
      <c r="A32" s="3" t="s">
        <v>153</v>
      </c>
      <c r="B32" s="3" t="s">
        <v>81</v>
      </c>
    </row>
    <row r="33" spans="1:15" x14ac:dyDescent="0.35">
      <c r="A33" s="3" t="s">
        <v>80</v>
      </c>
      <c r="B33" s="3" t="s">
        <v>81</v>
      </c>
      <c r="C33" s="2" t="s">
        <v>154</v>
      </c>
      <c r="F33" s="2" t="s">
        <v>155</v>
      </c>
      <c r="K33" s="5">
        <v>50</v>
      </c>
    </row>
    <row r="34" spans="1:15" x14ac:dyDescent="0.35">
      <c r="A34" s="3" t="s">
        <v>156</v>
      </c>
      <c r="B34" s="3" t="s">
        <v>157</v>
      </c>
    </row>
    <row r="35" spans="1:15" x14ac:dyDescent="0.35">
      <c r="A35" s="3" t="s">
        <v>158</v>
      </c>
      <c r="B35" s="3" t="s">
        <v>159</v>
      </c>
      <c r="M35" s="5">
        <v>10</v>
      </c>
    </row>
    <row r="36" spans="1:15" x14ac:dyDescent="0.35">
      <c r="A36" s="3" t="s">
        <v>160</v>
      </c>
      <c r="B36" s="3" t="s">
        <v>161</v>
      </c>
      <c r="K36" s="5">
        <v>50</v>
      </c>
      <c r="M36" s="5">
        <v>140</v>
      </c>
    </row>
    <row r="37" spans="1:15" x14ac:dyDescent="0.35">
      <c r="A37" s="3" t="s">
        <v>162</v>
      </c>
      <c r="B37" s="3" t="s">
        <v>84</v>
      </c>
    </row>
    <row r="38" spans="1:15" x14ac:dyDescent="0.35">
      <c r="A38" s="3" t="s">
        <v>83</v>
      </c>
      <c r="B38" s="3" t="s">
        <v>84</v>
      </c>
    </row>
    <row r="39" spans="1:15" x14ac:dyDescent="0.35">
      <c r="A39" s="3" t="s">
        <v>86</v>
      </c>
      <c r="B39" s="3" t="s">
        <v>87</v>
      </c>
      <c r="K39" s="5">
        <v>100</v>
      </c>
    </row>
    <row r="40" spans="1:15" x14ac:dyDescent="0.35">
      <c r="A40" s="3" t="s">
        <v>163</v>
      </c>
      <c r="B40" s="3" t="s">
        <v>164</v>
      </c>
      <c r="K40" s="5">
        <v>45</v>
      </c>
    </row>
    <row r="41" spans="1:15" x14ac:dyDescent="0.35">
      <c r="A41" s="3" t="s">
        <v>115</v>
      </c>
      <c r="B41" s="3" t="s">
        <v>165</v>
      </c>
      <c r="L41" s="5">
        <v>50</v>
      </c>
      <c r="M41" s="5">
        <v>50</v>
      </c>
    </row>
    <row r="42" spans="1:15" x14ac:dyDescent="0.35">
      <c r="A42" s="3" t="s">
        <v>97</v>
      </c>
      <c r="B42" s="3" t="s">
        <v>98</v>
      </c>
    </row>
    <row r="43" spans="1:15" x14ac:dyDescent="0.35">
      <c r="A43" s="3" t="s">
        <v>100</v>
      </c>
      <c r="B43" s="3" t="s">
        <v>101</v>
      </c>
      <c r="C43" s="2" t="s">
        <v>155</v>
      </c>
      <c r="E43" s="2" t="s">
        <v>149</v>
      </c>
      <c r="K43" s="5">
        <v>110</v>
      </c>
    </row>
    <row r="44" spans="1:15" x14ac:dyDescent="0.35">
      <c r="A44" s="3" t="s">
        <v>103</v>
      </c>
      <c r="B44" s="3" t="s">
        <v>101</v>
      </c>
    </row>
    <row r="45" spans="1:15" x14ac:dyDescent="0.35">
      <c r="A45" s="3" t="s">
        <v>105</v>
      </c>
      <c r="B45" s="3" t="s">
        <v>106</v>
      </c>
      <c r="G45" s="2" t="s">
        <v>166</v>
      </c>
      <c r="J45" s="5">
        <v>10</v>
      </c>
      <c r="K45" s="5">
        <v>10</v>
      </c>
      <c r="O45" s="11">
        <v>100</v>
      </c>
    </row>
    <row r="46" spans="1:15" x14ac:dyDescent="0.35">
      <c r="A46" s="3" t="s">
        <v>43</v>
      </c>
      <c r="B46" s="3" t="s">
        <v>106</v>
      </c>
    </row>
    <row r="47" spans="1:15" x14ac:dyDescent="0.35">
      <c r="A47" s="3" t="s">
        <v>108</v>
      </c>
      <c r="B47" s="3" t="s">
        <v>109</v>
      </c>
    </row>
    <row r="48" spans="1:15" x14ac:dyDescent="0.35">
      <c r="A48" s="3" t="s">
        <v>167</v>
      </c>
      <c r="B48" s="3" t="s">
        <v>168</v>
      </c>
      <c r="L48" s="5">
        <v>100</v>
      </c>
    </row>
    <row r="49" spans="1:15" x14ac:dyDescent="0.35">
      <c r="A49" s="3" t="s">
        <v>110</v>
      </c>
      <c r="B49" s="3" t="s">
        <v>13</v>
      </c>
      <c r="K49" s="5">
        <v>20</v>
      </c>
      <c r="L49" s="5">
        <v>20</v>
      </c>
      <c r="O49" s="11">
        <v>120</v>
      </c>
    </row>
    <row r="50" spans="1:15" x14ac:dyDescent="0.35">
      <c r="A50" s="3" t="s">
        <v>169</v>
      </c>
      <c r="B50" s="3" t="s">
        <v>13</v>
      </c>
    </row>
    <row r="51" spans="1:15" x14ac:dyDescent="0.35">
      <c r="A51" s="3" t="s">
        <v>115</v>
      </c>
      <c r="B51" s="3" t="s">
        <v>116</v>
      </c>
      <c r="K51" s="5">
        <v>60</v>
      </c>
      <c r="O51" s="11">
        <v>35</v>
      </c>
    </row>
    <row r="52" spans="1:15" x14ac:dyDescent="0.35">
      <c r="A52" s="3" t="s">
        <v>148</v>
      </c>
      <c r="B52" s="3" t="s">
        <v>170</v>
      </c>
    </row>
    <row r="53" spans="1:15" x14ac:dyDescent="0.35">
      <c r="A53" s="3" t="s">
        <v>118</v>
      </c>
      <c r="B53" s="3" t="s">
        <v>119</v>
      </c>
      <c r="L53" s="5">
        <v>50</v>
      </c>
    </row>
    <row r="54" spans="1:15" x14ac:dyDescent="0.35">
      <c r="A54" s="3" t="s">
        <v>120</v>
      </c>
      <c r="B54" s="3" t="s">
        <v>121</v>
      </c>
      <c r="K54" s="5">
        <v>50</v>
      </c>
      <c r="L54" s="5">
        <v>20</v>
      </c>
      <c r="O54" s="11">
        <v>30</v>
      </c>
    </row>
    <row r="55" spans="1:15" x14ac:dyDescent="0.35">
      <c r="A55" s="3" t="s">
        <v>47</v>
      </c>
      <c r="B55" s="3" t="s">
        <v>122</v>
      </c>
      <c r="L55" s="5">
        <v>200</v>
      </c>
      <c r="O55" s="11">
        <v>10</v>
      </c>
    </row>
    <row r="56" spans="1:15" x14ac:dyDescent="0.35">
      <c r="A56" s="3" t="s">
        <v>124</v>
      </c>
      <c r="B56" s="3" t="s">
        <v>122</v>
      </c>
    </row>
    <row r="57" spans="1:15" x14ac:dyDescent="0.35">
      <c r="A57" s="3" t="s">
        <v>128</v>
      </c>
      <c r="B57" s="3" t="s">
        <v>129</v>
      </c>
      <c r="K57" s="5">
        <v>50</v>
      </c>
      <c r="M57" s="5">
        <v>55</v>
      </c>
    </row>
    <row r="58" spans="1:15" x14ac:dyDescent="0.35">
      <c r="A58" s="3" t="s">
        <v>25</v>
      </c>
      <c r="B58" s="3" t="s">
        <v>131</v>
      </c>
      <c r="K58" s="5">
        <v>100</v>
      </c>
      <c r="L58" s="5">
        <v>30</v>
      </c>
    </row>
    <row r="59" spans="1:15" x14ac:dyDescent="0.35">
      <c r="A59" s="3" t="s">
        <v>133</v>
      </c>
      <c r="B59" s="3" t="s">
        <v>131</v>
      </c>
      <c r="M59" s="5">
        <v>50</v>
      </c>
    </row>
    <row r="60" spans="1:15" x14ac:dyDescent="0.35">
      <c r="A60" s="3" t="s">
        <v>171</v>
      </c>
      <c r="B60" s="3"/>
    </row>
    <row r="61" spans="1:15" x14ac:dyDescent="0.35">
      <c r="A61" s="3"/>
      <c r="B61" s="3"/>
    </row>
    <row r="62" spans="1:15" x14ac:dyDescent="0.35">
      <c r="A62" s="3"/>
      <c r="B62" s="3"/>
    </row>
    <row r="63" spans="1:15" x14ac:dyDescent="0.35">
      <c r="A63" s="3"/>
      <c r="B63" s="3"/>
    </row>
    <row r="64" spans="1:15" x14ac:dyDescent="0.35">
      <c r="A64" s="3"/>
      <c r="B64" s="3"/>
    </row>
    <row r="65" spans="1:2" x14ac:dyDescent="0.35">
      <c r="A65" s="3"/>
      <c r="B65" s="3"/>
    </row>
    <row r="66" spans="1:2" x14ac:dyDescent="0.35">
      <c r="A66" s="3"/>
      <c r="B66" s="3"/>
    </row>
    <row r="67" spans="1:2" x14ac:dyDescent="0.35">
      <c r="A67" s="3"/>
      <c r="B67" s="3"/>
    </row>
    <row r="68" spans="1:2" x14ac:dyDescent="0.35">
      <c r="A68" s="3"/>
      <c r="B68" s="3"/>
    </row>
    <row r="69" spans="1:2" x14ac:dyDescent="0.35">
      <c r="A69" s="3"/>
      <c r="B69" s="3"/>
    </row>
    <row r="70" spans="1:2" x14ac:dyDescent="0.35">
      <c r="A70" s="3"/>
      <c r="B70" s="3"/>
    </row>
    <row r="71" spans="1:2" x14ac:dyDescent="0.35">
      <c r="A71" s="3"/>
      <c r="B71" s="3"/>
    </row>
    <row r="72" spans="1:2" x14ac:dyDescent="0.35">
      <c r="A72" s="3"/>
      <c r="B72" s="3"/>
    </row>
    <row r="73" spans="1:2" x14ac:dyDescent="0.35">
      <c r="A73" s="3"/>
      <c r="B73" s="3"/>
    </row>
    <row r="74" spans="1:2" x14ac:dyDescent="0.35">
      <c r="A74" s="3"/>
      <c r="B74" s="3"/>
    </row>
    <row r="75" spans="1:2" x14ac:dyDescent="0.35">
      <c r="A75" s="3"/>
      <c r="B75" s="3"/>
    </row>
    <row r="76" spans="1:2" x14ac:dyDescent="0.35">
      <c r="A76" s="3"/>
      <c r="B76" s="3"/>
    </row>
    <row r="77" spans="1:2" x14ac:dyDescent="0.35">
      <c r="A77" s="3"/>
      <c r="B77" s="3"/>
    </row>
    <row r="78" spans="1:2" x14ac:dyDescent="0.35">
      <c r="A78" s="3"/>
      <c r="B78" s="3"/>
    </row>
    <row r="79" spans="1:2" x14ac:dyDescent="0.35">
      <c r="A79" s="3"/>
      <c r="B79" s="3"/>
    </row>
    <row r="80" spans="1:2" x14ac:dyDescent="0.35">
      <c r="A80" s="3"/>
      <c r="B80" s="3"/>
    </row>
    <row r="81" spans="1:2" x14ac:dyDescent="0.35">
      <c r="A81" s="3"/>
      <c r="B81" s="3"/>
    </row>
    <row r="82" spans="1:2" x14ac:dyDescent="0.35">
      <c r="A82" s="3"/>
      <c r="B82" s="3"/>
    </row>
    <row r="83" spans="1:2" x14ac:dyDescent="0.35">
      <c r="A83" s="3"/>
      <c r="B83" s="3"/>
    </row>
    <row r="84" spans="1:2" x14ac:dyDescent="0.35">
      <c r="A84" s="3"/>
      <c r="B84" s="3"/>
    </row>
    <row r="85" spans="1:2" x14ac:dyDescent="0.35">
      <c r="A85" s="3"/>
      <c r="B85" s="3"/>
    </row>
    <row r="86" spans="1:2" x14ac:dyDescent="0.35">
      <c r="A86" s="3"/>
      <c r="B86" s="3"/>
    </row>
    <row r="87" spans="1:2" x14ac:dyDescent="0.35">
      <c r="A87" s="3"/>
      <c r="B87" s="3"/>
    </row>
    <row r="88" spans="1:2" x14ac:dyDescent="0.35">
      <c r="A88" s="3"/>
      <c r="B88" s="3"/>
    </row>
    <row r="89" spans="1:2" x14ac:dyDescent="0.35">
      <c r="A89" s="3"/>
      <c r="B89" s="3"/>
    </row>
    <row r="90" spans="1:2" x14ac:dyDescent="0.35">
      <c r="A90" s="3"/>
      <c r="B90" s="3"/>
    </row>
    <row r="91" spans="1:2" x14ac:dyDescent="0.35">
      <c r="A91" s="3"/>
      <c r="B91" s="3"/>
    </row>
    <row r="92" spans="1:2" x14ac:dyDescent="0.35">
      <c r="A92" s="3"/>
      <c r="B92" s="3"/>
    </row>
    <row r="93" spans="1:2" x14ac:dyDescent="0.35">
      <c r="A93" s="3"/>
      <c r="B93" s="3"/>
    </row>
    <row r="94" spans="1:2" x14ac:dyDescent="0.35">
      <c r="A94" s="3"/>
      <c r="B94" s="3"/>
    </row>
    <row r="95" spans="1:2" x14ac:dyDescent="0.35">
      <c r="A95" s="3"/>
      <c r="B95" s="3"/>
    </row>
    <row r="96" spans="1:2" x14ac:dyDescent="0.35">
      <c r="A96" s="3"/>
      <c r="B96" s="3"/>
    </row>
    <row r="97" spans="1:2" x14ac:dyDescent="0.35">
      <c r="A97" s="3"/>
      <c r="B97" s="3"/>
    </row>
    <row r="98" spans="1:2" x14ac:dyDescent="0.35">
      <c r="A98" s="3"/>
      <c r="B98" s="3"/>
    </row>
    <row r="99" spans="1:2" x14ac:dyDescent="0.35">
      <c r="A99" s="3"/>
      <c r="B99" s="3"/>
    </row>
    <row r="100" spans="1:2" x14ac:dyDescent="0.35">
      <c r="A100" s="3"/>
      <c r="B100" s="3"/>
    </row>
    <row r="101" spans="1:2" x14ac:dyDescent="0.35">
      <c r="A101" s="3"/>
      <c r="B101" s="3"/>
    </row>
    <row r="102" spans="1:2" x14ac:dyDescent="0.35">
      <c r="A102" s="3"/>
      <c r="B102" s="3"/>
    </row>
    <row r="103" spans="1:2" x14ac:dyDescent="0.35">
      <c r="A103" s="3"/>
      <c r="B103" s="3"/>
    </row>
    <row r="104" spans="1:2" x14ac:dyDescent="0.35">
      <c r="A104" s="3"/>
      <c r="B104" s="3"/>
    </row>
    <row r="105" spans="1:2" x14ac:dyDescent="0.35">
      <c r="A105" s="3"/>
      <c r="B105" s="3"/>
    </row>
    <row r="106" spans="1:2" x14ac:dyDescent="0.35">
      <c r="A106" s="3"/>
      <c r="B106" s="3"/>
    </row>
    <row r="107" spans="1:2" x14ac:dyDescent="0.35">
      <c r="A107" s="3"/>
      <c r="B107" s="3"/>
    </row>
    <row r="108" spans="1:2" x14ac:dyDescent="0.35">
      <c r="A108" s="3"/>
      <c r="B108" s="3"/>
    </row>
    <row r="109" spans="1:2" x14ac:dyDescent="0.35">
      <c r="A109" s="3"/>
      <c r="B109" s="3"/>
    </row>
    <row r="110" spans="1:2" x14ac:dyDescent="0.35">
      <c r="A110" s="3"/>
      <c r="B110" s="3"/>
    </row>
    <row r="111" spans="1:2" x14ac:dyDescent="0.35">
      <c r="A111" s="3"/>
      <c r="B111" s="3"/>
    </row>
    <row r="112" spans="1:2" x14ac:dyDescent="0.35">
      <c r="A112" s="3"/>
      <c r="B112" s="3"/>
    </row>
    <row r="113" spans="1:2" x14ac:dyDescent="0.35">
      <c r="A113" s="3"/>
      <c r="B113" s="3"/>
    </row>
    <row r="114" spans="1:2" x14ac:dyDescent="0.35">
      <c r="A114" s="3"/>
      <c r="B114" s="3"/>
    </row>
    <row r="115" spans="1:2" x14ac:dyDescent="0.35">
      <c r="A115" s="3"/>
      <c r="B115" s="3"/>
    </row>
    <row r="116" spans="1:2" x14ac:dyDescent="0.35">
      <c r="A116" s="3"/>
      <c r="B116" s="3"/>
    </row>
    <row r="117" spans="1:2" x14ac:dyDescent="0.35">
      <c r="A117" s="3"/>
      <c r="B117" s="3"/>
    </row>
    <row r="118" spans="1:2" x14ac:dyDescent="0.35">
      <c r="A118" s="3"/>
      <c r="B118" s="3"/>
    </row>
    <row r="119" spans="1:2" x14ac:dyDescent="0.35">
      <c r="A119" s="3"/>
      <c r="B119" s="3"/>
    </row>
    <row r="120" spans="1:2" x14ac:dyDescent="0.35">
      <c r="A120" s="3"/>
      <c r="B120" s="3"/>
    </row>
    <row r="121" spans="1:2" x14ac:dyDescent="0.35">
      <c r="A121" s="3"/>
      <c r="B121" s="3"/>
    </row>
    <row r="122" spans="1:2" x14ac:dyDescent="0.35">
      <c r="A122" s="3"/>
      <c r="B122" s="3"/>
    </row>
    <row r="123" spans="1:2" x14ac:dyDescent="0.35">
      <c r="A123" s="3"/>
      <c r="B123" s="3"/>
    </row>
    <row r="124" spans="1:2" x14ac:dyDescent="0.35">
      <c r="A124" s="3"/>
      <c r="B124" s="3"/>
    </row>
    <row r="125" spans="1:2" x14ac:dyDescent="0.35">
      <c r="A125" s="3"/>
      <c r="B125" s="3"/>
    </row>
    <row r="126" spans="1:2" x14ac:dyDescent="0.35">
      <c r="A126" s="3"/>
      <c r="B126" s="3"/>
    </row>
    <row r="127" spans="1:2" x14ac:dyDescent="0.35">
      <c r="A127" s="3"/>
      <c r="B127" s="3"/>
    </row>
    <row r="128" spans="1:2" x14ac:dyDescent="0.35">
      <c r="A128" s="3"/>
      <c r="B128" s="3"/>
    </row>
    <row r="129" spans="1:2" x14ac:dyDescent="0.35">
      <c r="A129" s="3"/>
      <c r="B129" s="3"/>
    </row>
    <row r="130" spans="1:2" x14ac:dyDescent="0.35">
      <c r="A130" s="3"/>
      <c r="B130" s="3"/>
    </row>
    <row r="131" spans="1:2" x14ac:dyDescent="0.35">
      <c r="A131" s="3"/>
      <c r="B131" s="3"/>
    </row>
    <row r="132" spans="1:2" x14ac:dyDescent="0.35">
      <c r="A132" s="3"/>
      <c r="B132" s="3"/>
    </row>
    <row r="133" spans="1:2" x14ac:dyDescent="0.35">
      <c r="A133" s="3"/>
      <c r="B133" s="3"/>
    </row>
    <row r="134" spans="1:2" x14ac:dyDescent="0.35">
      <c r="A134" s="3"/>
      <c r="B134" s="3"/>
    </row>
    <row r="135" spans="1:2" x14ac:dyDescent="0.35">
      <c r="A135" s="3"/>
      <c r="B135" s="3"/>
    </row>
    <row r="136" spans="1:2" x14ac:dyDescent="0.35">
      <c r="A136" s="3"/>
      <c r="B136" s="3"/>
    </row>
    <row r="137" spans="1:2" x14ac:dyDescent="0.35">
      <c r="A137" s="3"/>
      <c r="B137" s="3"/>
    </row>
    <row r="138" spans="1:2" x14ac:dyDescent="0.35">
      <c r="A138" s="3"/>
      <c r="B138" s="3"/>
    </row>
    <row r="139" spans="1:2" x14ac:dyDescent="0.35">
      <c r="A139" s="3"/>
      <c r="B139" s="3"/>
    </row>
    <row r="140" spans="1:2" x14ac:dyDescent="0.35">
      <c r="A140" s="3"/>
      <c r="B140" s="3"/>
    </row>
    <row r="141" spans="1:2" x14ac:dyDescent="0.35">
      <c r="A141" s="3"/>
      <c r="B141" s="3"/>
    </row>
    <row r="142" spans="1:2" x14ac:dyDescent="0.35">
      <c r="A142" s="3"/>
      <c r="B142" s="3"/>
    </row>
    <row r="143" spans="1:2" x14ac:dyDescent="0.35">
      <c r="A143" s="3"/>
      <c r="B143" s="3"/>
    </row>
    <row r="144" spans="1:2" x14ac:dyDescent="0.35">
      <c r="A144" s="3"/>
      <c r="B144" s="3"/>
    </row>
    <row r="145" spans="1:2" x14ac:dyDescent="0.35">
      <c r="A145" s="3"/>
      <c r="B145" s="3"/>
    </row>
    <row r="146" spans="1:2" x14ac:dyDescent="0.35">
      <c r="A146" s="3"/>
      <c r="B146" s="3"/>
    </row>
    <row r="147" spans="1:2" x14ac:dyDescent="0.35">
      <c r="A147" s="3"/>
      <c r="B147" s="3"/>
    </row>
    <row r="148" spans="1:2" x14ac:dyDescent="0.35">
      <c r="A148" s="3"/>
      <c r="B148" s="3"/>
    </row>
    <row r="149" spans="1:2" x14ac:dyDescent="0.35">
      <c r="A149" s="3"/>
      <c r="B149" s="3"/>
    </row>
    <row r="150" spans="1:2" x14ac:dyDescent="0.35">
      <c r="A150" s="3"/>
      <c r="B150" s="3"/>
    </row>
    <row r="151" spans="1:2" x14ac:dyDescent="0.35">
      <c r="A151" s="3"/>
      <c r="B151" s="3"/>
    </row>
    <row r="152" spans="1:2" x14ac:dyDescent="0.35">
      <c r="A152" s="3"/>
      <c r="B152" s="3"/>
    </row>
    <row r="153" spans="1:2" x14ac:dyDescent="0.35">
      <c r="A153" s="3"/>
      <c r="B153" s="3"/>
    </row>
    <row r="154" spans="1:2" x14ac:dyDescent="0.35">
      <c r="A154" s="3"/>
      <c r="B154" s="3"/>
    </row>
    <row r="155" spans="1:2" x14ac:dyDescent="0.35">
      <c r="A155" s="3"/>
      <c r="B155" s="3"/>
    </row>
    <row r="156" spans="1:2" x14ac:dyDescent="0.35">
      <c r="A156" s="3"/>
      <c r="B156" s="3"/>
    </row>
    <row r="157" spans="1:2" x14ac:dyDescent="0.35">
      <c r="A157" s="3"/>
      <c r="B157" s="3"/>
    </row>
    <row r="158" spans="1:2" x14ac:dyDescent="0.35">
      <c r="A158" s="3"/>
      <c r="B158" s="3"/>
    </row>
    <row r="159" spans="1:2" x14ac:dyDescent="0.35">
      <c r="A159" s="3"/>
      <c r="B159" s="3"/>
    </row>
    <row r="160" spans="1:2" x14ac:dyDescent="0.35">
      <c r="A160" s="3"/>
      <c r="B160" s="3"/>
    </row>
    <row r="161" spans="1:2" x14ac:dyDescent="0.35">
      <c r="A161" s="3"/>
      <c r="B161" s="3"/>
    </row>
    <row r="162" spans="1:2" x14ac:dyDescent="0.35">
      <c r="A162" s="3"/>
      <c r="B162" s="3"/>
    </row>
    <row r="163" spans="1:2" x14ac:dyDescent="0.35">
      <c r="A163" s="3"/>
      <c r="B163" s="3"/>
    </row>
    <row r="164" spans="1:2" x14ac:dyDescent="0.35">
      <c r="A164" s="3"/>
      <c r="B164" s="3"/>
    </row>
    <row r="165" spans="1:2" x14ac:dyDescent="0.35">
      <c r="A165" s="3"/>
      <c r="B165" s="3"/>
    </row>
    <row r="166" spans="1:2" x14ac:dyDescent="0.35">
      <c r="A166" s="3"/>
      <c r="B166" s="3"/>
    </row>
    <row r="167" spans="1:2" x14ac:dyDescent="0.35">
      <c r="A167" s="3"/>
      <c r="B167" s="3"/>
    </row>
    <row r="168" spans="1:2" x14ac:dyDescent="0.35">
      <c r="A168" s="3"/>
      <c r="B168" s="3"/>
    </row>
    <row r="169" spans="1:2" x14ac:dyDescent="0.35">
      <c r="A169" s="3"/>
      <c r="B169" s="3"/>
    </row>
    <row r="170" spans="1:2" x14ac:dyDescent="0.35">
      <c r="A170" s="3"/>
      <c r="B170" s="3"/>
    </row>
    <row r="171" spans="1:2" x14ac:dyDescent="0.35">
      <c r="A171" s="3"/>
      <c r="B171" s="3"/>
    </row>
    <row r="172" spans="1:2" x14ac:dyDescent="0.35">
      <c r="A172" s="3"/>
      <c r="B172" s="3"/>
    </row>
    <row r="173" spans="1:2" x14ac:dyDescent="0.35">
      <c r="A173" s="3"/>
      <c r="B173" s="3"/>
    </row>
    <row r="174" spans="1:2" x14ac:dyDescent="0.35">
      <c r="A174" s="3"/>
      <c r="B17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4432-19A6-4700-AC23-744E81DF4696}">
  <dimension ref="A1:Q168"/>
  <sheetViews>
    <sheetView zoomScale="82" workbookViewId="0">
      <pane ySplit="1" topLeftCell="A29" activePane="bottomLeft" state="frozen"/>
      <selection pane="bottomLeft" activeCell="B30" sqref="B30"/>
    </sheetView>
  </sheetViews>
  <sheetFormatPr defaultColWidth="8.7265625" defaultRowHeight="17.5" x14ac:dyDescent="0.35"/>
  <cols>
    <col min="1" max="1" width="22.54296875" style="1" customWidth="1"/>
    <col min="2" max="2" width="20.7265625" style="1" customWidth="1"/>
    <col min="3" max="3" width="22.7265625" style="17" customWidth="1"/>
    <col min="4" max="4" width="11.7265625" style="2" customWidth="1"/>
    <col min="5" max="5" width="11.26953125" style="2" customWidth="1"/>
    <col min="6" max="6" width="10.7265625" style="2" customWidth="1"/>
    <col min="7" max="7" width="10.1796875" style="2" customWidth="1"/>
    <col min="8" max="8" width="10.81640625" style="2" customWidth="1"/>
    <col min="9" max="10" width="9.81640625" style="2" customWidth="1"/>
    <col min="11" max="11" width="10.1796875" style="4" customWidth="1"/>
    <col min="12" max="12" width="9.54296875" style="4" customWidth="1"/>
    <col min="13" max="13" width="14.453125" style="4" customWidth="1"/>
    <col min="14" max="14" width="13.1796875" style="4" customWidth="1"/>
    <col min="15" max="15" width="13.81640625" style="4" customWidth="1"/>
    <col min="16" max="16384" width="8.7265625" style="16"/>
  </cols>
  <sheetData>
    <row r="1" spans="1:15" x14ac:dyDescent="0.35">
      <c r="A1" s="1" t="s">
        <v>0</v>
      </c>
      <c r="B1" s="1" t="s">
        <v>1</v>
      </c>
      <c r="C1" s="10" t="s">
        <v>172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  <c r="I1" s="2" t="s">
        <v>140</v>
      </c>
      <c r="J1" s="2" t="s">
        <v>173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</row>
    <row r="2" spans="1:15" x14ac:dyDescent="0.35">
      <c r="A2" s="3" t="s">
        <v>9</v>
      </c>
      <c r="B2" s="3" t="s">
        <v>10</v>
      </c>
      <c r="C2" s="17">
        <v>70</v>
      </c>
      <c r="G2" s="2" t="s">
        <v>174</v>
      </c>
      <c r="I2" s="2" t="s">
        <v>166</v>
      </c>
      <c r="J2" s="2" t="s">
        <v>149</v>
      </c>
    </row>
    <row r="3" spans="1:15" x14ac:dyDescent="0.35">
      <c r="A3" s="3" t="s">
        <v>175</v>
      </c>
      <c r="B3" s="3" t="s">
        <v>10</v>
      </c>
      <c r="C3" s="17">
        <v>50</v>
      </c>
      <c r="H3" s="2" t="s">
        <v>166</v>
      </c>
      <c r="J3" s="2" t="s">
        <v>149</v>
      </c>
    </row>
    <row r="4" spans="1:15" x14ac:dyDescent="0.35">
      <c r="A4" s="3" t="s">
        <v>176</v>
      </c>
      <c r="B4" s="3" t="s">
        <v>16</v>
      </c>
      <c r="F4" s="15" t="s">
        <v>177</v>
      </c>
    </row>
    <row r="5" spans="1:15" x14ac:dyDescent="0.35">
      <c r="A5" s="3" t="s">
        <v>178</v>
      </c>
      <c r="B5" s="3" t="s">
        <v>179</v>
      </c>
      <c r="C5" s="18">
        <v>100</v>
      </c>
      <c r="J5" s="2" t="s">
        <v>149</v>
      </c>
      <c r="K5" s="7">
        <v>100</v>
      </c>
    </row>
    <row r="6" spans="1:15" x14ac:dyDescent="0.35">
      <c r="A6" s="3" t="s">
        <v>28</v>
      </c>
      <c r="B6" s="3" t="s">
        <v>29</v>
      </c>
    </row>
    <row r="7" spans="1:15" x14ac:dyDescent="0.35">
      <c r="A7" s="3" t="s">
        <v>180</v>
      </c>
      <c r="B7" s="3" t="s">
        <v>181</v>
      </c>
      <c r="D7" s="20"/>
      <c r="E7" s="20"/>
      <c r="F7" s="20"/>
      <c r="G7" s="20"/>
      <c r="H7" s="20"/>
      <c r="I7" s="20"/>
      <c r="J7" s="20"/>
      <c r="K7" s="21"/>
      <c r="L7" s="21"/>
      <c r="M7" s="21"/>
      <c r="O7" s="4" t="s">
        <v>182</v>
      </c>
    </row>
    <row r="8" spans="1:15" x14ac:dyDescent="0.35">
      <c r="A8" s="3" t="s">
        <v>183</v>
      </c>
      <c r="B8" s="3" t="s">
        <v>184</v>
      </c>
      <c r="D8" s="20"/>
      <c r="E8" s="20"/>
      <c r="F8" s="20"/>
      <c r="G8" s="20"/>
      <c r="H8" s="20"/>
      <c r="I8" s="20"/>
      <c r="J8" s="20"/>
      <c r="K8" s="21"/>
      <c r="L8" s="21"/>
      <c r="M8" s="21"/>
      <c r="O8" s="4" t="s">
        <v>185</v>
      </c>
    </row>
    <row r="9" spans="1:15" x14ac:dyDescent="0.35">
      <c r="A9" s="3" t="s">
        <v>33</v>
      </c>
      <c r="B9" s="3" t="s">
        <v>34</v>
      </c>
    </row>
    <row r="10" spans="1:15" x14ac:dyDescent="0.35">
      <c r="A10" s="3" t="s">
        <v>36</v>
      </c>
      <c r="B10" s="3" t="s">
        <v>34</v>
      </c>
    </row>
    <row r="11" spans="1:15" x14ac:dyDescent="0.35">
      <c r="A11" s="3" t="s">
        <v>25</v>
      </c>
      <c r="B11" s="3" t="s">
        <v>38</v>
      </c>
      <c r="J11" s="2" t="s">
        <v>149</v>
      </c>
      <c r="K11" s="7">
        <v>50</v>
      </c>
    </row>
    <row r="12" spans="1:15" x14ac:dyDescent="0.35">
      <c r="A12" s="3" t="s">
        <v>147</v>
      </c>
      <c r="B12" s="3" t="s">
        <v>142</v>
      </c>
      <c r="C12" s="17">
        <v>100</v>
      </c>
    </row>
    <row r="13" spans="1:15" x14ac:dyDescent="0.35">
      <c r="A13" s="3" t="s">
        <v>148</v>
      </c>
      <c r="B13" s="3" t="s">
        <v>147</v>
      </c>
      <c r="D13" s="2" t="s">
        <v>149</v>
      </c>
      <c r="E13" s="2" t="s">
        <v>149</v>
      </c>
      <c r="F13" s="2" t="s">
        <v>149</v>
      </c>
      <c r="G13" s="2" t="s">
        <v>149</v>
      </c>
      <c r="H13" s="2" t="s">
        <v>149</v>
      </c>
      <c r="I13" s="2" t="s">
        <v>149</v>
      </c>
      <c r="K13" s="4">
        <v>20</v>
      </c>
      <c r="L13" s="4">
        <v>20</v>
      </c>
      <c r="M13" s="4">
        <v>20</v>
      </c>
      <c r="N13" s="4">
        <v>20</v>
      </c>
      <c r="O13" s="4">
        <v>20</v>
      </c>
    </row>
    <row r="14" spans="1:15" x14ac:dyDescent="0.35">
      <c r="A14" s="3" t="s">
        <v>40</v>
      </c>
      <c r="B14" s="3" t="s">
        <v>41</v>
      </c>
    </row>
    <row r="15" spans="1:15" x14ac:dyDescent="0.35">
      <c r="A15" s="3" t="s">
        <v>43</v>
      </c>
      <c r="B15" s="3" t="s">
        <v>44</v>
      </c>
      <c r="G15" s="15" t="s">
        <v>166</v>
      </c>
    </row>
    <row r="16" spans="1:15" x14ac:dyDescent="0.35">
      <c r="A16" s="3" t="s">
        <v>143</v>
      </c>
      <c r="B16" s="3" t="s">
        <v>47</v>
      </c>
      <c r="J16" s="2" t="s">
        <v>149</v>
      </c>
    </row>
    <row r="17" spans="1:17" x14ac:dyDescent="0.35">
      <c r="A17" s="3" t="s">
        <v>186</v>
      </c>
      <c r="B17" s="3" t="s">
        <v>49</v>
      </c>
      <c r="G17" s="15" t="s">
        <v>177</v>
      </c>
    </row>
    <row r="18" spans="1:17" x14ac:dyDescent="0.35">
      <c r="A18" s="3" t="s">
        <v>187</v>
      </c>
      <c r="B18" s="3" t="s">
        <v>188</v>
      </c>
      <c r="D18" s="20"/>
      <c r="E18" s="20"/>
      <c r="F18" s="20"/>
      <c r="G18" s="20"/>
      <c r="H18" s="20"/>
      <c r="I18" s="20"/>
      <c r="J18" s="20"/>
      <c r="K18" s="4" t="s">
        <v>189</v>
      </c>
      <c r="L18" s="4">
        <v>50</v>
      </c>
    </row>
    <row r="19" spans="1:17" x14ac:dyDescent="0.35">
      <c r="A19" s="3" t="s">
        <v>53</v>
      </c>
      <c r="B19" s="3" t="s">
        <v>54</v>
      </c>
      <c r="C19" s="17">
        <v>160</v>
      </c>
      <c r="H19" s="2" t="s">
        <v>190</v>
      </c>
    </row>
    <row r="20" spans="1:17" x14ac:dyDescent="0.35">
      <c r="A20" s="3" t="s">
        <v>150</v>
      </c>
      <c r="B20" s="3" t="s">
        <v>151</v>
      </c>
      <c r="I20" s="15" t="s">
        <v>177</v>
      </c>
    </row>
    <row r="21" spans="1:17" x14ac:dyDescent="0.35">
      <c r="A21" s="3" t="s">
        <v>191</v>
      </c>
      <c r="B21" s="3" t="s">
        <v>57</v>
      </c>
    </row>
    <row r="22" spans="1:17" x14ac:dyDescent="0.35">
      <c r="A22" s="3" t="s">
        <v>192</v>
      </c>
      <c r="B22" s="3" t="s">
        <v>62</v>
      </c>
      <c r="C22" s="17">
        <v>60</v>
      </c>
      <c r="J22" s="2" t="s">
        <v>149</v>
      </c>
      <c r="O22" s="4">
        <v>160</v>
      </c>
    </row>
    <row r="23" spans="1:17" x14ac:dyDescent="0.35">
      <c r="A23" s="3" t="s">
        <v>193</v>
      </c>
      <c r="B23" s="3" t="s">
        <v>69</v>
      </c>
      <c r="Q23" s="16" t="s">
        <v>194</v>
      </c>
    </row>
    <row r="24" spans="1:17" x14ac:dyDescent="0.35">
      <c r="A24" s="3" t="s">
        <v>70</v>
      </c>
      <c r="B24" s="3" t="s">
        <v>69</v>
      </c>
      <c r="N24" s="4">
        <v>50</v>
      </c>
    </row>
    <row r="25" spans="1:17" x14ac:dyDescent="0.35">
      <c r="A25" s="3" t="s">
        <v>72</v>
      </c>
      <c r="B25" s="3" t="s">
        <v>69</v>
      </c>
      <c r="F25" s="2" t="s">
        <v>149</v>
      </c>
    </row>
    <row r="26" spans="1:17" x14ac:dyDescent="0.35">
      <c r="A26" s="3" t="s">
        <v>74</v>
      </c>
      <c r="B26" s="3" t="s">
        <v>69</v>
      </c>
    </row>
    <row r="27" spans="1:17" x14ac:dyDescent="0.35">
      <c r="A27" s="3" t="s">
        <v>75</v>
      </c>
      <c r="B27" s="3" t="s">
        <v>69</v>
      </c>
    </row>
    <row r="28" spans="1:17" x14ac:dyDescent="0.35">
      <c r="A28" s="3" t="s">
        <v>77</v>
      </c>
      <c r="B28" s="3" t="s">
        <v>69</v>
      </c>
      <c r="H28" s="2" t="s">
        <v>166</v>
      </c>
    </row>
    <row r="29" spans="1:17" x14ac:dyDescent="0.35">
      <c r="A29" s="3" t="s">
        <v>195</v>
      </c>
      <c r="B29" s="3" t="s">
        <v>81</v>
      </c>
      <c r="J29" s="2" t="s">
        <v>149</v>
      </c>
      <c r="O29" s="4">
        <v>100</v>
      </c>
    </row>
    <row r="30" spans="1:17" x14ac:dyDescent="0.35">
      <c r="A30" s="3" t="s">
        <v>115</v>
      </c>
      <c r="B30" s="3" t="s">
        <v>334</v>
      </c>
    </row>
    <row r="31" spans="1:17" x14ac:dyDescent="0.35">
      <c r="A31" s="3" t="s">
        <v>196</v>
      </c>
      <c r="B31" s="3" t="s">
        <v>157</v>
      </c>
    </row>
    <row r="32" spans="1:17" x14ac:dyDescent="0.35">
      <c r="A32" s="3" t="s">
        <v>160</v>
      </c>
      <c r="B32" s="3" t="s">
        <v>161</v>
      </c>
      <c r="H32" s="2" t="s">
        <v>197</v>
      </c>
      <c r="O32" s="4">
        <v>40</v>
      </c>
    </row>
    <row r="33" spans="1:15" x14ac:dyDescent="0.35">
      <c r="A33" s="3" t="s">
        <v>198</v>
      </c>
      <c r="B33" s="3" t="s">
        <v>84</v>
      </c>
      <c r="C33" s="17">
        <v>100</v>
      </c>
      <c r="E33" s="2" t="s">
        <v>177</v>
      </c>
      <c r="I33" s="2" t="s">
        <v>149</v>
      </c>
    </row>
    <row r="34" spans="1:15" x14ac:dyDescent="0.35">
      <c r="A34" s="3" t="s">
        <v>36</v>
      </c>
      <c r="B34" s="3" t="s">
        <v>199</v>
      </c>
      <c r="D34" s="22"/>
      <c r="E34" s="22"/>
      <c r="F34" s="22"/>
      <c r="G34" s="22"/>
      <c r="H34" s="22"/>
      <c r="I34" s="22"/>
      <c r="J34" s="22"/>
      <c r="K34" s="4" t="s">
        <v>185</v>
      </c>
      <c r="O34" s="4">
        <v>25</v>
      </c>
    </row>
    <row r="35" spans="1:15" x14ac:dyDescent="0.35">
      <c r="A35" s="3" t="s">
        <v>86</v>
      </c>
      <c r="B35" s="3" t="s">
        <v>87</v>
      </c>
      <c r="E35" s="15" t="s">
        <v>177</v>
      </c>
    </row>
    <row r="36" spans="1:15" x14ac:dyDescent="0.35">
      <c r="A36" s="3" t="s">
        <v>32</v>
      </c>
      <c r="B36" s="3" t="s">
        <v>200</v>
      </c>
      <c r="D36" s="20"/>
      <c r="E36" s="20"/>
      <c r="F36" s="20"/>
      <c r="G36" s="20"/>
      <c r="H36" s="20"/>
      <c r="I36" s="2" t="s">
        <v>185</v>
      </c>
      <c r="J36" s="2" t="s">
        <v>149</v>
      </c>
      <c r="M36" s="4">
        <v>30</v>
      </c>
      <c r="O36" s="4">
        <v>20</v>
      </c>
    </row>
    <row r="37" spans="1:15" x14ac:dyDescent="0.35">
      <c r="A37" s="3" t="s">
        <v>163</v>
      </c>
      <c r="B37" s="3" t="s">
        <v>164</v>
      </c>
      <c r="J37" s="2" t="s">
        <v>149</v>
      </c>
    </row>
    <row r="38" spans="1:15" x14ac:dyDescent="0.35">
      <c r="A38" s="3" t="s">
        <v>115</v>
      </c>
      <c r="B38" s="3" t="s">
        <v>165</v>
      </c>
      <c r="O38" s="4">
        <v>30</v>
      </c>
    </row>
    <row r="39" spans="1:15" x14ac:dyDescent="0.35">
      <c r="A39" s="3" t="s">
        <v>97</v>
      </c>
      <c r="B39" s="3" t="s">
        <v>98</v>
      </c>
      <c r="J39" s="2" t="s">
        <v>149</v>
      </c>
      <c r="O39" s="4">
        <v>100</v>
      </c>
    </row>
    <row r="40" spans="1:15" x14ac:dyDescent="0.35">
      <c r="A40" s="3" t="s">
        <v>201</v>
      </c>
      <c r="B40" s="3" t="s">
        <v>101</v>
      </c>
      <c r="H40" s="2" t="s">
        <v>149</v>
      </c>
      <c r="J40" s="2" t="s">
        <v>149</v>
      </c>
    </row>
    <row r="41" spans="1:15" x14ac:dyDescent="0.35">
      <c r="A41" s="3" t="s">
        <v>202</v>
      </c>
      <c r="B41" s="3" t="s">
        <v>106</v>
      </c>
      <c r="C41" s="17">
        <v>100</v>
      </c>
      <c r="H41" s="2" t="s">
        <v>166</v>
      </c>
      <c r="J41" s="2" t="s">
        <v>149</v>
      </c>
      <c r="K41" s="4">
        <v>40</v>
      </c>
      <c r="M41" s="4">
        <v>50</v>
      </c>
    </row>
    <row r="42" spans="1:15" x14ac:dyDescent="0.35">
      <c r="A42" s="3" t="s">
        <v>108</v>
      </c>
      <c r="B42" s="3" t="s">
        <v>109</v>
      </c>
      <c r="M42" s="4">
        <v>40</v>
      </c>
    </row>
    <row r="43" spans="1:15" x14ac:dyDescent="0.35">
      <c r="A43" s="3" t="s">
        <v>203</v>
      </c>
      <c r="B43" s="3" t="s">
        <v>204</v>
      </c>
      <c r="D43" s="20"/>
      <c r="E43" s="20"/>
      <c r="F43" s="20"/>
      <c r="G43" s="20"/>
      <c r="H43" s="20"/>
      <c r="I43" s="20"/>
      <c r="K43" s="7">
        <v>50</v>
      </c>
    </row>
    <row r="44" spans="1:15" x14ac:dyDescent="0.35">
      <c r="A44" s="3" t="s">
        <v>167</v>
      </c>
      <c r="B44" s="3" t="s">
        <v>168</v>
      </c>
      <c r="H44" s="2" t="s">
        <v>166</v>
      </c>
      <c r="I44" s="2" t="s">
        <v>166</v>
      </c>
      <c r="J44" s="2" t="s">
        <v>149</v>
      </c>
    </row>
    <row r="45" spans="1:15" x14ac:dyDescent="0.35">
      <c r="A45" s="3" t="s">
        <v>36</v>
      </c>
      <c r="B45" s="3" t="s">
        <v>205</v>
      </c>
      <c r="D45" s="20"/>
      <c r="E45" s="20"/>
      <c r="F45" s="20"/>
      <c r="G45" s="20"/>
      <c r="H45" s="20"/>
      <c r="I45" s="20"/>
      <c r="J45" s="20"/>
      <c r="K45" s="4" t="s">
        <v>185</v>
      </c>
    </row>
    <row r="46" spans="1:15" x14ac:dyDescent="0.35">
      <c r="A46" s="3" t="s">
        <v>110</v>
      </c>
      <c r="B46" s="3" t="s">
        <v>13</v>
      </c>
      <c r="C46" s="17">
        <v>120</v>
      </c>
      <c r="J46" s="2" t="s">
        <v>149</v>
      </c>
    </row>
    <row r="47" spans="1:15" x14ac:dyDescent="0.35">
      <c r="A47" s="3" t="s">
        <v>115</v>
      </c>
      <c r="B47" s="3" t="s">
        <v>116</v>
      </c>
      <c r="C47" s="17">
        <v>35</v>
      </c>
      <c r="H47" s="2" t="s">
        <v>155</v>
      </c>
    </row>
    <row r="48" spans="1:15" x14ac:dyDescent="0.35">
      <c r="A48" s="3" t="s">
        <v>148</v>
      </c>
      <c r="B48" s="3" t="s">
        <v>170</v>
      </c>
    </row>
    <row r="49" spans="1:15" x14ac:dyDescent="0.35">
      <c r="A49" s="3" t="s">
        <v>118</v>
      </c>
      <c r="B49" s="3" t="s">
        <v>119</v>
      </c>
      <c r="G49" s="2" t="s">
        <v>149</v>
      </c>
      <c r="J49" s="2" t="s">
        <v>149</v>
      </c>
    </row>
    <row r="50" spans="1:15" x14ac:dyDescent="0.35">
      <c r="A50" s="3" t="s">
        <v>206</v>
      </c>
      <c r="B50" s="3" t="s">
        <v>121</v>
      </c>
      <c r="C50" s="17">
        <v>30</v>
      </c>
      <c r="J50" s="2" t="s">
        <v>149</v>
      </c>
      <c r="M50" s="7">
        <v>50</v>
      </c>
    </row>
    <row r="51" spans="1:15" x14ac:dyDescent="0.35">
      <c r="A51" s="3" t="s">
        <v>207</v>
      </c>
      <c r="B51" s="3" t="s">
        <v>122</v>
      </c>
      <c r="C51" s="17">
        <v>10</v>
      </c>
      <c r="O51" s="4">
        <v>110</v>
      </c>
    </row>
    <row r="52" spans="1:15" x14ac:dyDescent="0.35">
      <c r="A52" s="3" t="s">
        <v>128</v>
      </c>
      <c r="B52" s="3" t="s">
        <v>129</v>
      </c>
      <c r="I52" s="14">
        <v>50</v>
      </c>
      <c r="J52" s="2" t="s">
        <v>149</v>
      </c>
    </row>
    <row r="53" spans="1:15" x14ac:dyDescent="0.35">
      <c r="A53" s="3" t="s">
        <v>208</v>
      </c>
      <c r="B53" s="3" t="s">
        <v>131</v>
      </c>
      <c r="I53" s="2" t="s">
        <v>166</v>
      </c>
    </row>
    <row r="54" spans="1:15" x14ac:dyDescent="0.35">
      <c r="A54" s="3" t="s">
        <v>169</v>
      </c>
      <c r="B54" s="3"/>
      <c r="D54" s="20"/>
      <c r="E54" s="20"/>
      <c r="F54" s="20"/>
      <c r="G54" s="20"/>
      <c r="H54" s="20"/>
      <c r="I54" s="20"/>
      <c r="J54" s="20"/>
      <c r="K54" s="4" t="s">
        <v>209</v>
      </c>
      <c r="O54" s="4">
        <v>30</v>
      </c>
    </row>
    <row r="55" spans="1:15" x14ac:dyDescent="0.35">
      <c r="A55" s="3"/>
      <c r="B55" s="3"/>
    </row>
    <row r="56" spans="1:15" x14ac:dyDescent="0.35">
      <c r="A56" s="3"/>
      <c r="B56" s="3"/>
    </row>
    <row r="57" spans="1:15" x14ac:dyDescent="0.35">
      <c r="A57" s="3"/>
      <c r="B57" s="3"/>
    </row>
    <row r="58" spans="1:15" x14ac:dyDescent="0.35">
      <c r="A58" s="3"/>
      <c r="B58" s="3"/>
    </row>
    <row r="59" spans="1:15" x14ac:dyDescent="0.35">
      <c r="A59" s="3"/>
      <c r="B59" s="3"/>
    </row>
    <row r="60" spans="1:15" x14ac:dyDescent="0.35">
      <c r="A60" s="3"/>
      <c r="B60" s="3"/>
    </row>
    <row r="61" spans="1:15" x14ac:dyDescent="0.35">
      <c r="A61" s="3"/>
      <c r="B61" s="3"/>
    </row>
    <row r="62" spans="1:15" x14ac:dyDescent="0.35">
      <c r="A62" s="3"/>
      <c r="B62" s="3"/>
    </row>
    <row r="63" spans="1:15" x14ac:dyDescent="0.35">
      <c r="A63" s="3"/>
      <c r="B63" s="3"/>
    </row>
    <row r="64" spans="1:15" x14ac:dyDescent="0.35">
      <c r="A64" s="3"/>
      <c r="B64" s="3"/>
    </row>
    <row r="65" spans="1:2" x14ac:dyDescent="0.35">
      <c r="A65" s="3"/>
      <c r="B65" s="3"/>
    </row>
    <row r="66" spans="1:2" x14ac:dyDescent="0.35">
      <c r="A66" s="3"/>
      <c r="B66" s="3"/>
    </row>
    <row r="67" spans="1:2" x14ac:dyDescent="0.35">
      <c r="A67" s="3"/>
      <c r="B67" s="3"/>
    </row>
    <row r="68" spans="1:2" x14ac:dyDescent="0.35">
      <c r="A68" s="3"/>
      <c r="B68" s="3"/>
    </row>
    <row r="69" spans="1:2" x14ac:dyDescent="0.35">
      <c r="A69" s="3"/>
      <c r="B69" s="3"/>
    </row>
    <row r="70" spans="1:2" x14ac:dyDescent="0.35">
      <c r="A70" s="3"/>
      <c r="B70" s="3"/>
    </row>
    <row r="71" spans="1:2" x14ac:dyDescent="0.35">
      <c r="A71" s="3"/>
      <c r="B71" s="3"/>
    </row>
    <row r="72" spans="1:2" x14ac:dyDescent="0.35">
      <c r="A72" s="3"/>
      <c r="B72" s="3"/>
    </row>
    <row r="73" spans="1:2" x14ac:dyDescent="0.35">
      <c r="A73" s="3"/>
      <c r="B73" s="3"/>
    </row>
    <row r="74" spans="1:2" x14ac:dyDescent="0.35">
      <c r="A74" s="3"/>
      <c r="B74" s="3"/>
    </row>
    <row r="75" spans="1:2" x14ac:dyDescent="0.35">
      <c r="A75" s="3"/>
      <c r="B75" s="3"/>
    </row>
    <row r="76" spans="1:2" x14ac:dyDescent="0.35">
      <c r="A76" s="3"/>
      <c r="B76" s="3"/>
    </row>
    <row r="77" spans="1:2" x14ac:dyDescent="0.35">
      <c r="A77" s="3"/>
      <c r="B77" s="3"/>
    </row>
    <row r="78" spans="1:2" x14ac:dyDescent="0.35">
      <c r="A78" s="3"/>
      <c r="B78" s="3"/>
    </row>
    <row r="79" spans="1:2" x14ac:dyDescent="0.35">
      <c r="A79" s="3"/>
      <c r="B79" s="3"/>
    </row>
    <row r="80" spans="1:2" x14ac:dyDescent="0.35">
      <c r="A80" s="3"/>
      <c r="B80" s="3"/>
    </row>
    <row r="81" spans="1:2" x14ac:dyDescent="0.35">
      <c r="A81" s="3"/>
      <c r="B81" s="3"/>
    </row>
    <row r="82" spans="1:2" x14ac:dyDescent="0.35">
      <c r="A82" s="3"/>
      <c r="B82" s="3"/>
    </row>
    <row r="83" spans="1:2" x14ac:dyDescent="0.35">
      <c r="A83" s="3"/>
      <c r="B83" s="3"/>
    </row>
    <row r="84" spans="1:2" x14ac:dyDescent="0.35">
      <c r="A84" s="3"/>
      <c r="B84" s="3"/>
    </row>
    <row r="85" spans="1:2" x14ac:dyDescent="0.35">
      <c r="A85" s="3"/>
      <c r="B85" s="3"/>
    </row>
    <row r="86" spans="1:2" x14ac:dyDescent="0.35">
      <c r="A86" s="3"/>
      <c r="B86" s="3"/>
    </row>
    <row r="87" spans="1:2" x14ac:dyDescent="0.35">
      <c r="A87" s="3"/>
      <c r="B87" s="3"/>
    </row>
    <row r="88" spans="1:2" x14ac:dyDescent="0.35">
      <c r="A88" s="3"/>
      <c r="B88" s="3"/>
    </row>
    <row r="89" spans="1:2" x14ac:dyDescent="0.35">
      <c r="A89" s="3"/>
      <c r="B89" s="3"/>
    </row>
    <row r="90" spans="1:2" x14ac:dyDescent="0.35">
      <c r="A90" s="3"/>
      <c r="B90" s="3"/>
    </row>
    <row r="91" spans="1:2" x14ac:dyDescent="0.35">
      <c r="A91" s="3"/>
      <c r="B91" s="3"/>
    </row>
    <row r="92" spans="1:2" x14ac:dyDescent="0.35">
      <c r="A92" s="3"/>
      <c r="B92" s="3"/>
    </row>
    <row r="93" spans="1:2" x14ac:dyDescent="0.35">
      <c r="A93" s="3"/>
      <c r="B93" s="3"/>
    </row>
    <row r="94" spans="1:2" x14ac:dyDescent="0.35">
      <c r="A94" s="3"/>
      <c r="B94" s="3"/>
    </row>
    <row r="95" spans="1:2" x14ac:dyDescent="0.35">
      <c r="A95" s="3"/>
      <c r="B95" s="3"/>
    </row>
    <row r="96" spans="1:2" x14ac:dyDescent="0.35">
      <c r="A96" s="3"/>
      <c r="B96" s="3"/>
    </row>
    <row r="97" spans="1:2" x14ac:dyDescent="0.35">
      <c r="A97" s="3"/>
      <c r="B97" s="3"/>
    </row>
    <row r="98" spans="1:2" x14ac:dyDescent="0.35">
      <c r="A98" s="3"/>
      <c r="B98" s="3"/>
    </row>
    <row r="99" spans="1:2" x14ac:dyDescent="0.35">
      <c r="A99" s="3"/>
      <c r="B99" s="3"/>
    </row>
    <row r="100" spans="1:2" x14ac:dyDescent="0.35">
      <c r="A100" s="3"/>
      <c r="B100" s="3"/>
    </row>
    <row r="101" spans="1:2" x14ac:dyDescent="0.35">
      <c r="A101" s="3"/>
      <c r="B101" s="3"/>
    </row>
    <row r="102" spans="1:2" x14ac:dyDescent="0.35">
      <c r="A102" s="3"/>
      <c r="B102" s="3"/>
    </row>
    <row r="103" spans="1:2" x14ac:dyDescent="0.35">
      <c r="A103" s="3"/>
      <c r="B103" s="3"/>
    </row>
    <row r="104" spans="1:2" x14ac:dyDescent="0.35">
      <c r="A104" s="3"/>
      <c r="B104" s="3"/>
    </row>
    <row r="105" spans="1:2" x14ac:dyDescent="0.35">
      <c r="A105" s="3"/>
      <c r="B105" s="3"/>
    </row>
    <row r="106" spans="1:2" x14ac:dyDescent="0.35">
      <c r="A106" s="3"/>
      <c r="B106" s="3"/>
    </row>
    <row r="107" spans="1:2" x14ac:dyDescent="0.35">
      <c r="A107" s="3"/>
      <c r="B107" s="3"/>
    </row>
    <row r="108" spans="1:2" x14ac:dyDescent="0.35">
      <c r="A108" s="3"/>
      <c r="B108" s="3"/>
    </row>
    <row r="109" spans="1:2" x14ac:dyDescent="0.35">
      <c r="A109" s="3"/>
      <c r="B109" s="3"/>
    </row>
    <row r="110" spans="1:2" x14ac:dyDescent="0.35">
      <c r="A110" s="3"/>
      <c r="B110" s="3"/>
    </row>
    <row r="111" spans="1:2" x14ac:dyDescent="0.35">
      <c r="A111" s="3"/>
      <c r="B111" s="3"/>
    </row>
    <row r="112" spans="1:2" x14ac:dyDescent="0.35">
      <c r="A112" s="3"/>
      <c r="B112" s="3"/>
    </row>
    <row r="113" spans="1:2" x14ac:dyDescent="0.35">
      <c r="A113" s="3"/>
      <c r="B113" s="3"/>
    </row>
    <row r="114" spans="1:2" x14ac:dyDescent="0.35">
      <c r="A114" s="3"/>
      <c r="B114" s="3"/>
    </row>
    <row r="115" spans="1:2" x14ac:dyDescent="0.35">
      <c r="A115" s="3"/>
      <c r="B115" s="3"/>
    </row>
    <row r="116" spans="1:2" x14ac:dyDescent="0.35">
      <c r="A116" s="3"/>
      <c r="B116" s="3"/>
    </row>
    <row r="117" spans="1:2" x14ac:dyDescent="0.35">
      <c r="A117" s="3"/>
      <c r="B117" s="3"/>
    </row>
    <row r="118" spans="1:2" x14ac:dyDescent="0.35">
      <c r="A118" s="3"/>
      <c r="B118" s="3"/>
    </row>
    <row r="119" spans="1:2" x14ac:dyDescent="0.35">
      <c r="A119" s="3"/>
      <c r="B119" s="3"/>
    </row>
    <row r="120" spans="1:2" x14ac:dyDescent="0.35">
      <c r="A120" s="3"/>
      <c r="B120" s="3"/>
    </row>
    <row r="121" spans="1:2" x14ac:dyDescent="0.35">
      <c r="A121" s="3"/>
      <c r="B121" s="3"/>
    </row>
    <row r="122" spans="1:2" x14ac:dyDescent="0.35">
      <c r="A122" s="3"/>
      <c r="B122" s="3"/>
    </row>
    <row r="123" spans="1:2" x14ac:dyDescent="0.35">
      <c r="A123" s="3"/>
      <c r="B123" s="3"/>
    </row>
    <row r="124" spans="1:2" x14ac:dyDescent="0.35">
      <c r="A124" s="3"/>
      <c r="B124" s="3"/>
    </row>
    <row r="125" spans="1:2" x14ac:dyDescent="0.35">
      <c r="A125" s="3"/>
      <c r="B125" s="3"/>
    </row>
    <row r="126" spans="1:2" x14ac:dyDescent="0.35">
      <c r="A126" s="3"/>
      <c r="B126" s="3"/>
    </row>
    <row r="127" spans="1:2" x14ac:dyDescent="0.35">
      <c r="A127" s="3"/>
      <c r="B127" s="3"/>
    </row>
    <row r="128" spans="1:2" x14ac:dyDescent="0.35">
      <c r="A128" s="3"/>
      <c r="B128" s="3"/>
    </row>
    <row r="129" spans="1:2" x14ac:dyDescent="0.35">
      <c r="A129" s="3"/>
      <c r="B129" s="3"/>
    </row>
    <row r="130" spans="1:2" x14ac:dyDescent="0.35">
      <c r="A130" s="3"/>
      <c r="B130" s="3"/>
    </row>
    <row r="131" spans="1:2" x14ac:dyDescent="0.35">
      <c r="A131" s="3"/>
      <c r="B131" s="3"/>
    </row>
    <row r="132" spans="1:2" x14ac:dyDescent="0.35">
      <c r="A132" s="3"/>
      <c r="B132" s="3"/>
    </row>
    <row r="133" spans="1:2" x14ac:dyDescent="0.35">
      <c r="A133" s="3"/>
      <c r="B133" s="3"/>
    </row>
    <row r="134" spans="1:2" x14ac:dyDescent="0.35">
      <c r="A134" s="3"/>
      <c r="B134" s="3"/>
    </row>
    <row r="135" spans="1:2" x14ac:dyDescent="0.35">
      <c r="A135" s="3"/>
      <c r="B135" s="3"/>
    </row>
    <row r="136" spans="1:2" x14ac:dyDescent="0.35">
      <c r="A136" s="3"/>
      <c r="B136" s="3"/>
    </row>
    <row r="137" spans="1:2" x14ac:dyDescent="0.35">
      <c r="A137" s="3"/>
      <c r="B137" s="3"/>
    </row>
    <row r="138" spans="1:2" x14ac:dyDescent="0.35">
      <c r="A138" s="3"/>
      <c r="B138" s="3"/>
    </row>
    <row r="139" spans="1:2" x14ac:dyDescent="0.35">
      <c r="A139" s="3"/>
      <c r="B139" s="3"/>
    </row>
    <row r="140" spans="1:2" x14ac:dyDescent="0.35">
      <c r="A140" s="3"/>
      <c r="B140" s="3"/>
    </row>
    <row r="141" spans="1:2" x14ac:dyDescent="0.35">
      <c r="A141" s="3"/>
      <c r="B141" s="3"/>
    </row>
    <row r="142" spans="1:2" x14ac:dyDescent="0.35">
      <c r="A142" s="3"/>
      <c r="B142" s="3"/>
    </row>
    <row r="143" spans="1:2" x14ac:dyDescent="0.35">
      <c r="A143" s="3"/>
      <c r="B143" s="3"/>
    </row>
    <row r="144" spans="1:2" x14ac:dyDescent="0.35">
      <c r="A144" s="3"/>
      <c r="B144" s="3"/>
    </row>
    <row r="145" spans="1:2" x14ac:dyDescent="0.35">
      <c r="A145" s="3"/>
      <c r="B145" s="3"/>
    </row>
    <row r="146" spans="1:2" x14ac:dyDescent="0.35">
      <c r="A146" s="3"/>
      <c r="B146" s="3"/>
    </row>
    <row r="147" spans="1:2" x14ac:dyDescent="0.35">
      <c r="A147" s="3"/>
      <c r="B147" s="3"/>
    </row>
    <row r="148" spans="1:2" x14ac:dyDescent="0.35">
      <c r="A148" s="3"/>
      <c r="B148" s="3"/>
    </row>
    <row r="149" spans="1:2" x14ac:dyDescent="0.35">
      <c r="A149" s="3"/>
      <c r="B149" s="3"/>
    </row>
    <row r="150" spans="1:2" x14ac:dyDescent="0.35">
      <c r="A150" s="3"/>
      <c r="B150" s="3"/>
    </row>
    <row r="151" spans="1:2" x14ac:dyDescent="0.35">
      <c r="A151" s="3"/>
      <c r="B151" s="3"/>
    </row>
    <row r="152" spans="1:2" x14ac:dyDescent="0.35">
      <c r="A152" s="3"/>
      <c r="B152" s="3"/>
    </row>
    <row r="153" spans="1:2" x14ac:dyDescent="0.35">
      <c r="A153" s="3"/>
      <c r="B153" s="3"/>
    </row>
    <row r="154" spans="1:2" x14ac:dyDescent="0.35">
      <c r="A154" s="3"/>
      <c r="B154" s="3"/>
    </row>
    <row r="155" spans="1:2" x14ac:dyDescent="0.35">
      <c r="A155" s="3"/>
      <c r="B155" s="3"/>
    </row>
    <row r="156" spans="1:2" x14ac:dyDescent="0.35">
      <c r="A156" s="3"/>
      <c r="B156" s="3"/>
    </row>
    <row r="157" spans="1:2" x14ac:dyDescent="0.35">
      <c r="A157" s="3"/>
      <c r="B157" s="3"/>
    </row>
    <row r="158" spans="1:2" x14ac:dyDescent="0.35">
      <c r="A158" s="3"/>
      <c r="B158" s="3"/>
    </row>
    <row r="159" spans="1:2" x14ac:dyDescent="0.35">
      <c r="A159" s="3"/>
      <c r="B159" s="3"/>
    </row>
    <row r="160" spans="1:2" x14ac:dyDescent="0.35">
      <c r="A160" s="3"/>
      <c r="B160" s="3"/>
    </row>
    <row r="161" spans="1:2" x14ac:dyDescent="0.35">
      <c r="A161" s="3"/>
      <c r="B161" s="3"/>
    </row>
    <row r="162" spans="1:2" x14ac:dyDescent="0.35">
      <c r="A162" s="3"/>
      <c r="B162" s="3"/>
    </row>
    <row r="163" spans="1:2" x14ac:dyDescent="0.35">
      <c r="A163" s="3"/>
      <c r="B163" s="3"/>
    </row>
    <row r="164" spans="1:2" x14ac:dyDescent="0.35">
      <c r="A164" s="3"/>
      <c r="B164" s="3"/>
    </row>
    <row r="165" spans="1:2" x14ac:dyDescent="0.35">
      <c r="A165" s="3"/>
      <c r="B165" s="3"/>
    </row>
    <row r="166" spans="1:2" x14ac:dyDescent="0.35">
      <c r="A166" s="3"/>
      <c r="B166" s="3"/>
    </row>
    <row r="167" spans="1:2" x14ac:dyDescent="0.35">
      <c r="A167" s="3"/>
      <c r="B167" s="3"/>
    </row>
    <row r="168" spans="1:2" x14ac:dyDescent="0.35">
      <c r="A168" s="3"/>
      <c r="B168" s="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2570-656F-4BB3-815C-439ADC9A1276}">
  <dimension ref="A1:N167"/>
  <sheetViews>
    <sheetView workbookViewId="0">
      <pane xSplit="3" ySplit="8" topLeftCell="D14" activePane="bottomRight" state="frozen"/>
      <selection pane="topRight" activeCell="E1" sqref="E1"/>
      <selection pane="bottomLeft" activeCell="A9" sqref="A9"/>
      <selection pane="bottomRight" activeCell="A4" sqref="A4:XFD4"/>
    </sheetView>
  </sheetViews>
  <sheetFormatPr defaultRowHeight="17.5" x14ac:dyDescent="0.35"/>
  <cols>
    <col min="1" max="1" width="22.7265625" style="1" customWidth="1"/>
    <col min="2" max="2" width="16.453125" style="1" customWidth="1"/>
    <col min="3" max="3" width="23.453125" style="5" customWidth="1"/>
    <col min="4" max="13" width="16.453125" style="5" customWidth="1"/>
    <col min="14" max="14" width="27.7265625" style="5" customWidth="1"/>
  </cols>
  <sheetData>
    <row r="1" spans="1:14" x14ac:dyDescent="0.35">
      <c r="A1" s="1" t="s">
        <v>0</v>
      </c>
      <c r="B1" s="1" t="s">
        <v>1</v>
      </c>
      <c r="C1" s="4" t="s">
        <v>210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211</v>
      </c>
    </row>
    <row r="2" spans="1:14" x14ac:dyDescent="0.35">
      <c r="A2" s="3" t="s">
        <v>212</v>
      </c>
      <c r="B2" s="3" t="s">
        <v>181</v>
      </c>
      <c r="C2" s="6"/>
      <c r="F2" s="5">
        <v>50</v>
      </c>
      <c r="H2" s="5">
        <v>40</v>
      </c>
      <c r="N2" s="23">
        <v>10</v>
      </c>
    </row>
    <row r="3" spans="1:14" x14ac:dyDescent="0.35">
      <c r="A3" s="3" t="s">
        <v>9</v>
      </c>
      <c r="B3" s="3" t="s">
        <v>10</v>
      </c>
      <c r="C3" s="5">
        <v>90</v>
      </c>
      <c r="N3" s="23" t="s">
        <v>213</v>
      </c>
    </row>
    <row r="4" spans="1:14" x14ac:dyDescent="0.35">
      <c r="A4" s="3" t="s">
        <v>175</v>
      </c>
      <c r="B4" s="3" t="s">
        <v>10</v>
      </c>
      <c r="C4" s="5">
        <v>50</v>
      </c>
      <c r="G4" s="24">
        <v>50</v>
      </c>
      <c r="N4" s="23">
        <v>100</v>
      </c>
    </row>
    <row r="5" spans="1:14" x14ac:dyDescent="0.35">
      <c r="A5" s="3" t="s">
        <v>176</v>
      </c>
      <c r="B5" s="3" t="s">
        <v>16</v>
      </c>
      <c r="C5" s="6"/>
      <c r="D5" s="5">
        <v>100</v>
      </c>
      <c r="N5" s="6"/>
    </row>
    <row r="6" spans="1:14" x14ac:dyDescent="0.35">
      <c r="A6" s="3" t="s">
        <v>178</v>
      </c>
      <c r="B6" s="3" t="s">
        <v>179</v>
      </c>
      <c r="C6" s="5">
        <v>100</v>
      </c>
      <c r="G6" s="5">
        <v>100</v>
      </c>
      <c r="N6" s="23">
        <v>100</v>
      </c>
    </row>
    <row r="7" spans="1:14" x14ac:dyDescent="0.35">
      <c r="A7" s="3" t="s">
        <v>193</v>
      </c>
      <c r="B7" s="3" t="s">
        <v>214</v>
      </c>
      <c r="C7" s="6"/>
      <c r="E7" s="5">
        <v>100</v>
      </c>
      <c r="N7" s="6"/>
    </row>
    <row r="8" spans="1:14" x14ac:dyDescent="0.35">
      <c r="A8" s="3" t="s">
        <v>215</v>
      </c>
      <c r="B8" s="3" t="s">
        <v>214</v>
      </c>
      <c r="C8" s="6"/>
      <c r="G8" s="5" t="s">
        <v>216</v>
      </c>
      <c r="N8" s="6"/>
    </row>
    <row r="9" spans="1:14" x14ac:dyDescent="0.35">
      <c r="A9" s="3" t="s">
        <v>169</v>
      </c>
      <c r="B9" s="3" t="s">
        <v>217</v>
      </c>
      <c r="C9" s="6"/>
      <c r="G9" s="5">
        <v>30</v>
      </c>
      <c r="N9" s="23">
        <v>20</v>
      </c>
    </row>
    <row r="10" spans="1:14" x14ac:dyDescent="0.35">
      <c r="A10" s="26" t="s">
        <v>218</v>
      </c>
      <c r="B10" s="26" t="s">
        <v>29</v>
      </c>
      <c r="F10" s="5">
        <v>50</v>
      </c>
      <c r="N10" s="23">
        <v>50</v>
      </c>
    </row>
    <row r="11" spans="1:14" x14ac:dyDescent="0.35">
      <c r="A11" s="3" t="s">
        <v>183</v>
      </c>
      <c r="B11" s="3" t="s">
        <v>184</v>
      </c>
      <c r="C11" s="6"/>
      <c r="D11" s="5">
        <v>5</v>
      </c>
      <c r="E11" s="5">
        <v>5</v>
      </c>
      <c r="F11" s="5">
        <v>5</v>
      </c>
      <c r="G11" s="5">
        <v>5</v>
      </c>
      <c r="N11" s="23">
        <v>30</v>
      </c>
    </row>
    <row r="12" spans="1:14" x14ac:dyDescent="0.35">
      <c r="A12" s="3" t="s">
        <v>25</v>
      </c>
      <c r="B12" s="3" t="s">
        <v>38</v>
      </c>
      <c r="C12" s="6"/>
      <c r="F12" s="5">
        <v>20</v>
      </c>
      <c r="N12" s="6"/>
    </row>
    <row r="13" spans="1:14" x14ac:dyDescent="0.35">
      <c r="A13" s="3" t="s">
        <v>219</v>
      </c>
      <c r="B13" s="3" t="s">
        <v>147</v>
      </c>
      <c r="C13" s="6"/>
      <c r="D13" s="5">
        <v>10</v>
      </c>
      <c r="E13" s="5">
        <v>10</v>
      </c>
      <c r="F13" s="5">
        <v>15</v>
      </c>
      <c r="G13" s="5">
        <v>15</v>
      </c>
      <c r="H13" s="5">
        <v>15</v>
      </c>
      <c r="I13" s="5">
        <v>15</v>
      </c>
      <c r="J13" s="5">
        <v>15</v>
      </c>
      <c r="K13" s="5">
        <v>15</v>
      </c>
      <c r="L13" s="5">
        <v>15</v>
      </c>
      <c r="M13" s="5">
        <v>15</v>
      </c>
      <c r="N13" s="6"/>
    </row>
    <row r="14" spans="1:14" x14ac:dyDescent="0.35">
      <c r="A14" s="3" t="s">
        <v>43</v>
      </c>
      <c r="B14" s="3" t="s">
        <v>44</v>
      </c>
      <c r="C14" s="6"/>
      <c r="E14" s="5">
        <v>20</v>
      </c>
      <c r="G14" s="5">
        <v>30</v>
      </c>
      <c r="N14" s="6"/>
    </row>
    <row r="15" spans="1:14" x14ac:dyDescent="0.35">
      <c r="A15" s="3" t="s">
        <v>143</v>
      </c>
      <c r="B15" s="3" t="s">
        <v>47</v>
      </c>
      <c r="C15" s="5">
        <v>50</v>
      </c>
      <c r="E15" s="5">
        <v>40</v>
      </c>
      <c r="H15" s="5">
        <v>10</v>
      </c>
      <c r="N15" s="23">
        <v>50</v>
      </c>
    </row>
    <row r="16" spans="1:14" x14ac:dyDescent="0.35">
      <c r="A16" s="3" t="s">
        <v>186</v>
      </c>
      <c r="B16" s="3" t="s">
        <v>49</v>
      </c>
      <c r="C16" s="6"/>
      <c r="D16" s="5">
        <v>100</v>
      </c>
      <c r="N16" s="6"/>
    </row>
    <row r="17" spans="1:14" x14ac:dyDescent="0.35">
      <c r="A17" s="3" t="s">
        <v>187</v>
      </c>
      <c r="B17" s="3" t="s">
        <v>188</v>
      </c>
      <c r="C17" s="6"/>
      <c r="D17" s="5">
        <v>50</v>
      </c>
      <c r="N17" s="23">
        <v>50</v>
      </c>
    </row>
    <row r="18" spans="1:14" x14ac:dyDescent="0.35">
      <c r="A18" s="3" t="s">
        <v>53</v>
      </c>
      <c r="B18" s="3" t="s">
        <v>54</v>
      </c>
      <c r="C18" s="5">
        <v>90</v>
      </c>
      <c r="D18" s="5" t="s">
        <v>220</v>
      </c>
      <c r="E18" s="5">
        <v>20</v>
      </c>
      <c r="F18" s="5">
        <v>20</v>
      </c>
      <c r="G18" s="5">
        <v>10</v>
      </c>
      <c r="H18" s="5">
        <v>30</v>
      </c>
      <c r="N18" s="6"/>
    </row>
    <row r="19" spans="1:14" x14ac:dyDescent="0.35">
      <c r="A19" s="3" t="s">
        <v>150</v>
      </c>
      <c r="B19" s="3" t="s">
        <v>151</v>
      </c>
      <c r="C19" s="6"/>
      <c r="E19" s="5">
        <v>100</v>
      </c>
      <c r="N19" s="6"/>
    </row>
    <row r="20" spans="1:14" x14ac:dyDescent="0.35">
      <c r="A20" s="3" t="s">
        <v>191</v>
      </c>
      <c r="B20" s="3" t="s">
        <v>57</v>
      </c>
      <c r="C20" s="6"/>
      <c r="D20" s="5">
        <v>70</v>
      </c>
      <c r="M20" s="5">
        <v>30</v>
      </c>
      <c r="N20" s="6"/>
    </row>
    <row r="21" spans="1:14" x14ac:dyDescent="0.35">
      <c r="A21" s="3" t="s">
        <v>192</v>
      </c>
      <c r="B21" s="3" t="s">
        <v>62</v>
      </c>
      <c r="C21" s="6"/>
      <c r="N21" s="6"/>
    </row>
    <row r="22" spans="1:14" x14ac:dyDescent="0.35">
      <c r="A22" s="3" t="s">
        <v>70</v>
      </c>
      <c r="B22" s="3" t="s">
        <v>69</v>
      </c>
      <c r="C22" s="5">
        <v>50</v>
      </c>
      <c r="D22" s="5" t="s">
        <v>221</v>
      </c>
      <c r="N22" s="6"/>
    </row>
    <row r="23" spans="1:14" x14ac:dyDescent="0.35">
      <c r="A23" s="19" t="s">
        <v>72</v>
      </c>
      <c r="B23" s="3" t="s">
        <v>69</v>
      </c>
      <c r="C23" s="5">
        <v>80</v>
      </c>
      <c r="N23" s="23">
        <v>180</v>
      </c>
    </row>
    <row r="24" spans="1:14" x14ac:dyDescent="0.35">
      <c r="A24" s="3" t="s">
        <v>77</v>
      </c>
      <c r="B24" s="3" t="s">
        <v>69</v>
      </c>
      <c r="C24" s="6"/>
      <c r="D24" s="5">
        <v>10</v>
      </c>
      <c r="F24" s="5">
        <v>50</v>
      </c>
      <c r="N24" s="6"/>
    </row>
    <row r="25" spans="1:14" x14ac:dyDescent="0.35">
      <c r="A25" s="3" t="s">
        <v>195</v>
      </c>
      <c r="B25" s="3" t="s">
        <v>81</v>
      </c>
      <c r="C25" s="6"/>
      <c r="E25" s="5">
        <v>100</v>
      </c>
      <c r="N25" s="6"/>
    </row>
    <row r="26" spans="1:14" x14ac:dyDescent="0.35">
      <c r="A26" s="3" t="s">
        <v>115</v>
      </c>
      <c r="B26" s="3" t="s">
        <v>334</v>
      </c>
      <c r="C26" s="23">
        <v>30</v>
      </c>
      <c r="N26" s="23">
        <v>80</v>
      </c>
    </row>
    <row r="27" spans="1:14" x14ac:dyDescent="0.35">
      <c r="A27" s="3" t="s">
        <v>196</v>
      </c>
      <c r="B27" s="3" t="s">
        <v>157</v>
      </c>
      <c r="C27" s="6">
        <v>120</v>
      </c>
      <c r="E27" s="5">
        <v>120</v>
      </c>
      <c r="F27" s="5">
        <v>50</v>
      </c>
      <c r="G27" s="5">
        <v>10</v>
      </c>
      <c r="H27" s="5">
        <v>10</v>
      </c>
      <c r="N27" s="23">
        <v>20</v>
      </c>
    </row>
    <row r="28" spans="1:14" x14ac:dyDescent="0.35">
      <c r="A28" s="3" t="s">
        <v>160</v>
      </c>
      <c r="B28" s="3" t="s">
        <v>161</v>
      </c>
      <c r="C28" s="6"/>
      <c r="G28" s="5" t="s">
        <v>222</v>
      </c>
      <c r="N28" s="6"/>
    </row>
    <row r="29" spans="1:14" x14ac:dyDescent="0.35">
      <c r="A29" s="3" t="s">
        <v>198</v>
      </c>
      <c r="B29" s="3" t="s">
        <v>84</v>
      </c>
      <c r="C29" s="5">
        <v>100</v>
      </c>
      <c r="N29" s="23">
        <v>200</v>
      </c>
    </row>
    <row r="30" spans="1:14" x14ac:dyDescent="0.35">
      <c r="A30" s="3" t="s">
        <v>36</v>
      </c>
      <c r="B30" s="3" t="s">
        <v>199</v>
      </c>
      <c r="C30" s="6"/>
      <c r="N30" s="6"/>
    </row>
    <row r="31" spans="1:14" x14ac:dyDescent="0.35">
      <c r="A31" s="3" t="s">
        <v>86</v>
      </c>
      <c r="B31" s="3" t="s">
        <v>87</v>
      </c>
      <c r="C31" s="6"/>
      <c r="N31" s="23" t="s">
        <v>223</v>
      </c>
    </row>
    <row r="32" spans="1:14" x14ac:dyDescent="0.35">
      <c r="A32" s="3" t="s">
        <v>224</v>
      </c>
      <c r="B32" s="3" t="s">
        <v>225</v>
      </c>
      <c r="C32" s="6"/>
      <c r="H32" s="5" t="s">
        <v>226</v>
      </c>
      <c r="N32" s="23">
        <v>60</v>
      </c>
    </row>
    <row r="33" spans="1:14" x14ac:dyDescent="0.35">
      <c r="A33" s="3" t="s">
        <v>227</v>
      </c>
      <c r="B33" s="3" t="s">
        <v>200</v>
      </c>
      <c r="D33" s="6">
        <v>100</v>
      </c>
      <c r="N33" s="6"/>
    </row>
    <row r="34" spans="1:14" x14ac:dyDescent="0.35">
      <c r="A34" s="3" t="s">
        <v>163</v>
      </c>
      <c r="B34" s="3" t="s">
        <v>164</v>
      </c>
      <c r="C34" s="5">
        <v>50</v>
      </c>
      <c r="E34" s="5">
        <v>10</v>
      </c>
      <c r="H34" s="5">
        <v>50</v>
      </c>
      <c r="L34" s="5">
        <v>10</v>
      </c>
      <c r="N34" s="23">
        <v>80</v>
      </c>
    </row>
    <row r="35" spans="1:14" x14ac:dyDescent="0.35">
      <c r="A35" s="3" t="s">
        <v>228</v>
      </c>
      <c r="B35" s="3" t="s">
        <v>229</v>
      </c>
      <c r="C35" s="6"/>
      <c r="D35" s="5" t="s">
        <v>230</v>
      </c>
      <c r="E35" s="5">
        <v>5</v>
      </c>
      <c r="F35" s="5">
        <v>5</v>
      </c>
      <c r="G35" s="5">
        <v>5</v>
      </c>
      <c r="H35" s="5">
        <v>5</v>
      </c>
      <c r="I35" s="5">
        <v>5</v>
      </c>
      <c r="J35" s="5">
        <v>5</v>
      </c>
      <c r="K35" s="5">
        <v>5</v>
      </c>
      <c r="L35" s="5">
        <v>5</v>
      </c>
      <c r="M35" s="5">
        <v>5</v>
      </c>
      <c r="N35" s="6"/>
    </row>
    <row r="36" spans="1:14" x14ac:dyDescent="0.35">
      <c r="A36" s="3" t="s">
        <v>115</v>
      </c>
      <c r="B36" s="3" t="s">
        <v>165</v>
      </c>
      <c r="C36" s="6">
        <v>20</v>
      </c>
      <c r="E36" s="5">
        <v>30</v>
      </c>
      <c r="G36" s="5">
        <v>10</v>
      </c>
      <c r="N36" s="23">
        <v>30</v>
      </c>
    </row>
    <row r="37" spans="1:14" x14ac:dyDescent="0.35">
      <c r="A37" s="3" t="s">
        <v>97</v>
      </c>
      <c r="B37" s="3" t="s">
        <v>98</v>
      </c>
      <c r="C37" s="6"/>
      <c r="N37" s="23">
        <v>100</v>
      </c>
    </row>
    <row r="38" spans="1:14" x14ac:dyDescent="0.35">
      <c r="A38" s="3" t="s">
        <v>201</v>
      </c>
      <c r="B38" s="3" t="s">
        <v>101</v>
      </c>
      <c r="C38" s="6">
        <v>80</v>
      </c>
      <c r="E38" s="5">
        <v>80</v>
      </c>
      <c r="J38" s="5">
        <v>50</v>
      </c>
      <c r="N38" s="23">
        <v>50</v>
      </c>
    </row>
    <row r="39" spans="1:14" x14ac:dyDescent="0.35">
      <c r="A39" s="3" t="s">
        <v>202</v>
      </c>
      <c r="B39" s="3" t="s">
        <v>106</v>
      </c>
      <c r="C39" s="6">
        <v>60</v>
      </c>
      <c r="D39" s="5">
        <v>10</v>
      </c>
      <c r="E39" s="5">
        <v>60</v>
      </c>
      <c r="F39" s="5">
        <v>10</v>
      </c>
      <c r="N39" s="23">
        <v>80</v>
      </c>
    </row>
    <row r="40" spans="1:14" x14ac:dyDescent="0.35">
      <c r="A40" s="31" t="s">
        <v>108</v>
      </c>
      <c r="B40" s="31" t="s">
        <v>109</v>
      </c>
      <c r="C40" s="32">
        <v>290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</row>
    <row r="41" spans="1:14" x14ac:dyDescent="0.35">
      <c r="A41" s="3" t="s">
        <v>203</v>
      </c>
      <c r="B41" s="3" t="s">
        <v>204</v>
      </c>
      <c r="C41" s="6"/>
      <c r="H41" s="5">
        <v>30</v>
      </c>
      <c r="N41" s="5">
        <v>20</v>
      </c>
    </row>
    <row r="42" spans="1:14" x14ac:dyDescent="0.35">
      <c r="A42" s="3" t="s">
        <v>231</v>
      </c>
      <c r="B42" s="3" t="s">
        <v>232</v>
      </c>
      <c r="C42" s="25"/>
      <c r="E42" s="5" t="s">
        <v>233</v>
      </c>
      <c r="F42" s="5">
        <v>10</v>
      </c>
      <c r="H42" s="5">
        <v>20</v>
      </c>
      <c r="L42" s="5">
        <v>20</v>
      </c>
      <c r="M42" s="5">
        <v>10</v>
      </c>
      <c r="N42" s="6"/>
    </row>
    <row r="43" spans="1:14" x14ac:dyDescent="0.35">
      <c r="A43" s="3" t="s">
        <v>167</v>
      </c>
      <c r="B43" s="3" t="s">
        <v>168</v>
      </c>
      <c r="C43" s="6"/>
      <c r="N43" s="23">
        <v>100</v>
      </c>
    </row>
    <row r="44" spans="1:14" x14ac:dyDescent="0.35">
      <c r="A44" s="3" t="s">
        <v>234</v>
      </c>
      <c r="B44" s="3" t="s">
        <v>205</v>
      </c>
      <c r="C44" s="6">
        <v>25</v>
      </c>
      <c r="E44" s="5">
        <v>25</v>
      </c>
      <c r="N44" s="23">
        <v>100</v>
      </c>
    </row>
    <row r="45" spans="1:14" x14ac:dyDescent="0.35">
      <c r="A45" s="3" t="s">
        <v>110</v>
      </c>
      <c r="B45" s="3" t="s">
        <v>13</v>
      </c>
      <c r="C45" s="6">
        <v>120</v>
      </c>
      <c r="E45" s="5">
        <v>100</v>
      </c>
      <c r="F45" s="5">
        <v>20</v>
      </c>
      <c r="N45" s="23">
        <v>100</v>
      </c>
    </row>
    <row r="46" spans="1:14" x14ac:dyDescent="0.35">
      <c r="A46" s="3" t="s">
        <v>235</v>
      </c>
      <c r="B46" s="3" t="s">
        <v>13</v>
      </c>
      <c r="C46" s="25"/>
      <c r="E46" s="5" t="s">
        <v>236</v>
      </c>
      <c r="F46" s="5">
        <v>5</v>
      </c>
      <c r="N46" s="23">
        <v>45</v>
      </c>
    </row>
    <row r="47" spans="1:14" x14ac:dyDescent="0.35">
      <c r="A47" s="3" t="s">
        <v>237</v>
      </c>
      <c r="B47" s="3" t="s">
        <v>13</v>
      </c>
      <c r="C47" s="25"/>
      <c r="E47" s="5" t="s">
        <v>238</v>
      </c>
      <c r="G47" s="5">
        <v>20</v>
      </c>
      <c r="H47" s="5">
        <v>10</v>
      </c>
      <c r="L47" s="5">
        <v>30</v>
      </c>
      <c r="N47" s="23">
        <v>20</v>
      </c>
    </row>
    <row r="48" spans="1:14" x14ac:dyDescent="0.35">
      <c r="A48" s="3" t="s">
        <v>115</v>
      </c>
      <c r="B48" s="3" t="s">
        <v>116</v>
      </c>
      <c r="C48" s="6">
        <v>45</v>
      </c>
      <c r="D48" s="5">
        <v>10</v>
      </c>
      <c r="F48" s="5">
        <v>50</v>
      </c>
      <c r="M48" s="5" t="s">
        <v>338</v>
      </c>
      <c r="N48" s="6">
        <v>0</v>
      </c>
    </row>
    <row r="49" spans="1:14" x14ac:dyDescent="0.35">
      <c r="A49" s="3" t="s">
        <v>118</v>
      </c>
      <c r="B49" s="3" t="s">
        <v>119</v>
      </c>
      <c r="C49" s="6">
        <v>30</v>
      </c>
      <c r="D49" s="5">
        <v>10</v>
      </c>
      <c r="E49" s="5">
        <v>25</v>
      </c>
      <c r="F49" s="5">
        <v>20</v>
      </c>
      <c r="N49" s="23">
        <v>25</v>
      </c>
    </row>
    <row r="50" spans="1:14" x14ac:dyDescent="0.35">
      <c r="A50" s="3" t="s">
        <v>206</v>
      </c>
      <c r="B50" s="3" t="s">
        <v>121</v>
      </c>
      <c r="C50" s="6">
        <v>50</v>
      </c>
      <c r="D50" s="5">
        <v>30</v>
      </c>
      <c r="E50" s="5">
        <v>30</v>
      </c>
      <c r="M50" s="5">
        <v>20</v>
      </c>
      <c r="N50" s="23">
        <v>70</v>
      </c>
    </row>
    <row r="51" spans="1:14" x14ac:dyDescent="0.35">
      <c r="A51" s="3" t="s">
        <v>207</v>
      </c>
      <c r="B51" s="3" t="s">
        <v>122</v>
      </c>
      <c r="C51" s="6"/>
      <c r="D51" s="5">
        <v>10</v>
      </c>
      <c r="N51" s="23">
        <v>90</v>
      </c>
    </row>
    <row r="52" spans="1:14" x14ac:dyDescent="0.35">
      <c r="A52" s="3" t="s">
        <v>128</v>
      </c>
      <c r="B52" s="3" t="s">
        <v>129</v>
      </c>
      <c r="C52" s="6"/>
      <c r="K52" s="5">
        <v>50</v>
      </c>
      <c r="N52" s="6"/>
    </row>
    <row r="53" spans="1:14" x14ac:dyDescent="0.35">
      <c r="A53" s="3" t="s">
        <v>208</v>
      </c>
      <c r="B53" s="3" t="s">
        <v>131</v>
      </c>
      <c r="C53" s="6">
        <v>50</v>
      </c>
      <c r="D53" s="5">
        <v>100</v>
      </c>
      <c r="E53" s="5">
        <v>20</v>
      </c>
      <c r="N53" s="23">
        <v>30</v>
      </c>
    </row>
    <row r="54" spans="1:14" x14ac:dyDescent="0.35">
      <c r="A54" s="3"/>
      <c r="B54" s="3"/>
    </row>
    <row r="55" spans="1:14" x14ac:dyDescent="0.35">
      <c r="A55" s="3"/>
      <c r="B55" s="3"/>
    </row>
    <row r="56" spans="1:14" x14ac:dyDescent="0.35">
      <c r="A56" s="3"/>
      <c r="B56" s="3" t="s">
        <v>239</v>
      </c>
      <c r="C56" s="5">
        <f>SUM(C1:C48)</f>
        <v>1450</v>
      </c>
    </row>
    <row r="57" spans="1:14" x14ac:dyDescent="0.35">
      <c r="A57" s="3"/>
      <c r="B57" s="3"/>
    </row>
    <row r="58" spans="1:14" x14ac:dyDescent="0.35">
      <c r="A58" s="3"/>
      <c r="B58" s="3"/>
    </row>
    <row r="59" spans="1:14" x14ac:dyDescent="0.35">
      <c r="A59" s="3"/>
      <c r="B59" s="3"/>
    </row>
    <row r="60" spans="1:14" x14ac:dyDescent="0.35">
      <c r="A60" s="3"/>
      <c r="B60" s="3"/>
    </row>
    <row r="61" spans="1:14" x14ac:dyDescent="0.35">
      <c r="A61" s="3"/>
      <c r="B61" s="3"/>
    </row>
    <row r="62" spans="1:14" x14ac:dyDescent="0.35">
      <c r="A62" s="3"/>
      <c r="B62" s="3"/>
    </row>
    <row r="63" spans="1:14" x14ac:dyDescent="0.35">
      <c r="A63" s="3"/>
      <c r="B63" s="3"/>
    </row>
    <row r="64" spans="1:14" x14ac:dyDescent="0.35">
      <c r="A64" s="3"/>
      <c r="B64" s="3"/>
    </row>
    <row r="65" spans="1:2" x14ac:dyDescent="0.35">
      <c r="A65" s="3"/>
      <c r="B65" s="3"/>
    </row>
    <row r="66" spans="1:2" x14ac:dyDescent="0.35">
      <c r="A66" s="3"/>
      <c r="B66" s="3"/>
    </row>
    <row r="67" spans="1:2" x14ac:dyDescent="0.35">
      <c r="A67" s="3"/>
      <c r="B67" s="3"/>
    </row>
    <row r="68" spans="1:2" x14ac:dyDescent="0.35">
      <c r="A68" s="3"/>
      <c r="B68" s="3"/>
    </row>
    <row r="69" spans="1:2" x14ac:dyDescent="0.35">
      <c r="A69" s="3"/>
      <c r="B69" s="3"/>
    </row>
    <row r="70" spans="1:2" x14ac:dyDescent="0.35">
      <c r="A70" s="3"/>
      <c r="B70" s="3"/>
    </row>
    <row r="71" spans="1:2" x14ac:dyDescent="0.35">
      <c r="A71" s="3"/>
      <c r="B71" s="3"/>
    </row>
    <row r="72" spans="1:2" x14ac:dyDescent="0.35">
      <c r="A72" s="3"/>
      <c r="B72" s="3"/>
    </row>
    <row r="73" spans="1:2" x14ac:dyDescent="0.35">
      <c r="A73" s="3"/>
      <c r="B73" s="3"/>
    </row>
    <row r="74" spans="1:2" x14ac:dyDescent="0.35">
      <c r="A74" s="3"/>
      <c r="B74" s="3"/>
    </row>
    <row r="75" spans="1:2" x14ac:dyDescent="0.35">
      <c r="A75" s="3"/>
      <c r="B75" s="3"/>
    </row>
    <row r="76" spans="1:2" x14ac:dyDescent="0.35">
      <c r="A76" s="3"/>
      <c r="B76" s="3"/>
    </row>
    <row r="77" spans="1:2" x14ac:dyDescent="0.35">
      <c r="A77" s="3"/>
      <c r="B77" s="3"/>
    </row>
    <row r="78" spans="1:2" x14ac:dyDescent="0.35">
      <c r="A78" s="3"/>
      <c r="B78" s="3"/>
    </row>
    <row r="79" spans="1:2" x14ac:dyDescent="0.35">
      <c r="A79" s="3"/>
      <c r="B79" s="3"/>
    </row>
    <row r="80" spans="1:2" x14ac:dyDescent="0.35">
      <c r="A80" s="3"/>
      <c r="B80" s="3"/>
    </row>
    <row r="81" spans="1:2" x14ac:dyDescent="0.35">
      <c r="A81" s="3"/>
      <c r="B81" s="3"/>
    </row>
    <row r="82" spans="1:2" x14ac:dyDescent="0.35">
      <c r="A82" s="3"/>
      <c r="B82" s="3"/>
    </row>
    <row r="83" spans="1:2" x14ac:dyDescent="0.35">
      <c r="A83" s="3"/>
      <c r="B83" s="3"/>
    </row>
    <row r="84" spans="1:2" x14ac:dyDescent="0.35">
      <c r="A84" s="3"/>
      <c r="B84" s="3"/>
    </row>
    <row r="85" spans="1:2" x14ac:dyDescent="0.35">
      <c r="A85" s="3"/>
      <c r="B85" s="3"/>
    </row>
    <row r="86" spans="1:2" x14ac:dyDescent="0.35">
      <c r="A86" s="3"/>
      <c r="B86" s="3"/>
    </row>
    <row r="87" spans="1:2" x14ac:dyDescent="0.35">
      <c r="A87" s="3"/>
      <c r="B87" s="3"/>
    </row>
    <row r="88" spans="1:2" x14ac:dyDescent="0.35">
      <c r="A88" s="3"/>
      <c r="B88" s="3"/>
    </row>
    <row r="89" spans="1:2" x14ac:dyDescent="0.35">
      <c r="A89" s="3"/>
      <c r="B89" s="3"/>
    </row>
    <row r="90" spans="1:2" x14ac:dyDescent="0.35">
      <c r="A90" s="3"/>
      <c r="B90" s="3"/>
    </row>
    <row r="91" spans="1:2" x14ac:dyDescent="0.35">
      <c r="A91" s="3"/>
      <c r="B91" s="3"/>
    </row>
    <row r="92" spans="1:2" x14ac:dyDescent="0.35">
      <c r="A92" s="3"/>
      <c r="B92" s="3"/>
    </row>
    <row r="93" spans="1:2" x14ac:dyDescent="0.35">
      <c r="A93" s="3"/>
      <c r="B93" s="3"/>
    </row>
    <row r="94" spans="1:2" x14ac:dyDescent="0.35">
      <c r="A94" s="3"/>
      <c r="B94" s="3"/>
    </row>
    <row r="95" spans="1:2" x14ac:dyDescent="0.35">
      <c r="A95" s="3"/>
      <c r="B95" s="3"/>
    </row>
    <row r="96" spans="1:2" x14ac:dyDescent="0.35">
      <c r="A96" s="3"/>
      <c r="B96" s="3"/>
    </row>
    <row r="97" spans="1:2" x14ac:dyDescent="0.35">
      <c r="A97" s="3"/>
      <c r="B97" s="3"/>
    </row>
    <row r="98" spans="1:2" x14ac:dyDescent="0.35">
      <c r="A98" s="3"/>
      <c r="B98" s="3"/>
    </row>
    <row r="99" spans="1:2" x14ac:dyDescent="0.35">
      <c r="A99" s="3"/>
      <c r="B99" s="3"/>
    </row>
    <row r="100" spans="1:2" x14ac:dyDescent="0.35">
      <c r="A100" s="3"/>
      <c r="B100" s="3"/>
    </row>
    <row r="101" spans="1:2" x14ac:dyDescent="0.35">
      <c r="A101" s="3"/>
      <c r="B101" s="3"/>
    </row>
    <row r="102" spans="1:2" x14ac:dyDescent="0.35">
      <c r="A102" s="3"/>
      <c r="B102" s="3"/>
    </row>
    <row r="103" spans="1:2" x14ac:dyDescent="0.35">
      <c r="A103" s="3"/>
      <c r="B103" s="3"/>
    </row>
    <row r="104" spans="1:2" x14ac:dyDescent="0.35">
      <c r="A104" s="3"/>
      <c r="B104" s="3"/>
    </row>
    <row r="105" spans="1:2" x14ac:dyDescent="0.35">
      <c r="A105" s="3"/>
      <c r="B105" s="3"/>
    </row>
    <row r="106" spans="1:2" x14ac:dyDescent="0.35">
      <c r="A106" s="3"/>
      <c r="B106" s="3"/>
    </row>
    <row r="107" spans="1:2" x14ac:dyDescent="0.35">
      <c r="A107" s="3"/>
      <c r="B107" s="3"/>
    </row>
    <row r="108" spans="1:2" x14ac:dyDescent="0.35">
      <c r="A108" s="3"/>
      <c r="B108" s="3"/>
    </row>
    <row r="109" spans="1:2" x14ac:dyDescent="0.35">
      <c r="A109" s="3"/>
      <c r="B109" s="3"/>
    </row>
    <row r="110" spans="1:2" x14ac:dyDescent="0.35">
      <c r="A110" s="3"/>
      <c r="B110" s="3"/>
    </row>
    <row r="111" spans="1:2" x14ac:dyDescent="0.35">
      <c r="A111" s="3"/>
      <c r="B111" s="3"/>
    </row>
    <row r="112" spans="1:2" x14ac:dyDescent="0.35">
      <c r="A112" s="3"/>
      <c r="B112" s="3"/>
    </row>
    <row r="113" spans="1:2" x14ac:dyDescent="0.35">
      <c r="A113" s="3"/>
      <c r="B113" s="3"/>
    </row>
    <row r="114" spans="1:2" x14ac:dyDescent="0.35">
      <c r="A114" s="3"/>
      <c r="B114" s="3"/>
    </row>
    <row r="115" spans="1:2" x14ac:dyDescent="0.35">
      <c r="A115" s="3"/>
      <c r="B115" s="3"/>
    </row>
    <row r="116" spans="1:2" x14ac:dyDescent="0.35">
      <c r="A116" s="3"/>
      <c r="B116" s="3"/>
    </row>
    <row r="117" spans="1:2" x14ac:dyDescent="0.35">
      <c r="A117" s="3"/>
      <c r="B117" s="3"/>
    </row>
    <row r="118" spans="1:2" x14ac:dyDescent="0.35">
      <c r="A118" s="3"/>
      <c r="B118" s="3"/>
    </row>
    <row r="119" spans="1:2" x14ac:dyDescent="0.35">
      <c r="A119" s="3"/>
      <c r="B119" s="3"/>
    </row>
    <row r="120" spans="1:2" x14ac:dyDescent="0.35">
      <c r="A120" s="3"/>
      <c r="B120" s="3"/>
    </row>
    <row r="121" spans="1:2" x14ac:dyDescent="0.35">
      <c r="A121" s="3"/>
      <c r="B121" s="3"/>
    </row>
    <row r="122" spans="1:2" x14ac:dyDescent="0.35">
      <c r="A122" s="3"/>
      <c r="B122" s="3"/>
    </row>
    <row r="123" spans="1:2" x14ac:dyDescent="0.35">
      <c r="A123" s="3"/>
      <c r="B123" s="3"/>
    </row>
    <row r="124" spans="1:2" x14ac:dyDescent="0.35">
      <c r="A124" s="3"/>
      <c r="B124" s="3"/>
    </row>
    <row r="125" spans="1:2" x14ac:dyDescent="0.35">
      <c r="A125" s="3"/>
      <c r="B125" s="3"/>
    </row>
    <row r="126" spans="1:2" x14ac:dyDescent="0.35">
      <c r="A126" s="3"/>
      <c r="B126" s="3"/>
    </row>
    <row r="127" spans="1:2" x14ac:dyDescent="0.35">
      <c r="A127" s="3"/>
      <c r="B127" s="3"/>
    </row>
    <row r="128" spans="1:2" x14ac:dyDescent="0.35">
      <c r="A128" s="3"/>
      <c r="B128" s="3"/>
    </row>
    <row r="129" spans="1:2" x14ac:dyDescent="0.35">
      <c r="A129" s="3"/>
      <c r="B129" s="3"/>
    </row>
    <row r="130" spans="1:2" x14ac:dyDescent="0.35">
      <c r="A130" s="3"/>
      <c r="B130" s="3"/>
    </row>
    <row r="131" spans="1:2" x14ac:dyDescent="0.35">
      <c r="A131" s="3"/>
      <c r="B131" s="3"/>
    </row>
    <row r="132" spans="1:2" x14ac:dyDescent="0.35">
      <c r="A132" s="3"/>
      <c r="B132" s="3"/>
    </row>
    <row r="133" spans="1:2" x14ac:dyDescent="0.35">
      <c r="A133" s="3"/>
      <c r="B133" s="3"/>
    </row>
    <row r="134" spans="1:2" x14ac:dyDescent="0.35">
      <c r="A134" s="3"/>
      <c r="B134" s="3"/>
    </row>
    <row r="135" spans="1:2" x14ac:dyDescent="0.35">
      <c r="A135" s="3"/>
      <c r="B135" s="3"/>
    </row>
    <row r="136" spans="1:2" x14ac:dyDescent="0.35">
      <c r="A136" s="3"/>
      <c r="B136" s="3"/>
    </row>
    <row r="137" spans="1:2" x14ac:dyDescent="0.35">
      <c r="A137" s="3"/>
      <c r="B137" s="3"/>
    </row>
    <row r="138" spans="1:2" x14ac:dyDescent="0.35">
      <c r="A138" s="3"/>
      <c r="B138" s="3"/>
    </row>
    <row r="139" spans="1:2" x14ac:dyDescent="0.35">
      <c r="A139" s="3"/>
      <c r="B139" s="3"/>
    </row>
    <row r="140" spans="1:2" x14ac:dyDescent="0.35">
      <c r="A140" s="3"/>
      <c r="B140" s="3"/>
    </row>
    <row r="141" spans="1:2" x14ac:dyDescent="0.35">
      <c r="A141" s="3"/>
      <c r="B141" s="3"/>
    </row>
    <row r="142" spans="1:2" x14ac:dyDescent="0.35">
      <c r="A142" s="3"/>
      <c r="B142" s="3"/>
    </row>
    <row r="143" spans="1:2" x14ac:dyDescent="0.35">
      <c r="A143" s="3"/>
      <c r="B143" s="3"/>
    </row>
    <row r="144" spans="1:2" x14ac:dyDescent="0.35">
      <c r="A144" s="3"/>
      <c r="B144" s="3"/>
    </row>
    <row r="145" spans="1:2" x14ac:dyDescent="0.35">
      <c r="A145" s="3"/>
      <c r="B145" s="3"/>
    </row>
    <row r="146" spans="1:2" x14ac:dyDescent="0.35">
      <c r="A146" s="3"/>
      <c r="B146" s="3"/>
    </row>
    <row r="147" spans="1:2" x14ac:dyDescent="0.35">
      <c r="A147" s="3"/>
      <c r="B147" s="3"/>
    </row>
    <row r="148" spans="1:2" x14ac:dyDescent="0.35">
      <c r="A148" s="3"/>
      <c r="B148" s="3"/>
    </row>
    <row r="149" spans="1:2" x14ac:dyDescent="0.35">
      <c r="A149" s="3"/>
      <c r="B149" s="3"/>
    </row>
    <row r="150" spans="1:2" x14ac:dyDescent="0.35">
      <c r="A150" s="3"/>
      <c r="B150" s="3"/>
    </row>
    <row r="151" spans="1:2" x14ac:dyDescent="0.35">
      <c r="A151" s="3"/>
      <c r="B151" s="3"/>
    </row>
    <row r="152" spans="1:2" x14ac:dyDescent="0.35">
      <c r="A152" s="3"/>
      <c r="B152" s="3"/>
    </row>
    <row r="153" spans="1:2" x14ac:dyDescent="0.35">
      <c r="A153" s="3"/>
      <c r="B153" s="3"/>
    </row>
    <row r="154" spans="1:2" x14ac:dyDescent="0.35">
      <c r="A154" s="3"/>
      <c r="B154" s="3"/>
    </row>
    <row r="155" spans="1:2" x14ac:dyDescent="0.35">
      <c r="A155" s="3"/>
      <c r="B155" s="3"/>
    </row>
    <row r="156" spans="1:2" x14ac:dyDescent="0.35">
      <c r="A156" s="3"/>
      <c r="B156" s="3"/>
    </row>
    <row r="157" spans="1:2" x14ac:dyDescent="0.35">
      <c r="A157" s="3"/>
      <c r="B157" s="3"/>
    </row>
    <row r="158" spans="1:2" x14ac:dyDescent="0.35">
      <c r="A158" s="3"/>
      <c r="B158" s="3"/>
    </row>
    <row r="159" spans="1:2" x14ac:dyDescent="0.35">
      <c r="A159" s="3"/>
      <c r="B159" s="3"/>
    </row>
    <row r="160" spans="1:2" x14ac:dyDescent="0.35">
      <c r="A160" s="3"/>
      <c r="B160" s="3"/>
    </row>
    <row r="161" spans="1:2" x14ac:dyDescent="0.35">
      <c r="A161" s="3"/>
      <c r="B161" s="3"/>
    </row>
    <row r="162" spans="1:2" x14ac:dyDescent="0.35">
      <c r="A162" s="3"/>
      <c r="B162" s="3"/>
    </row>
    <row r="163" spans="1:2" x14ac:dyDescent="0.35">
      <c r="A163" s="3"/>
      <c r="B163" s="3"/>
    </row>
    <row r="164" spans="1:2" x14ac:dyDescent="0.35">
      <c r="A164" s="3"/>
      <c r="B164" s="3"/>
    </row>
    <row r="165" spans="1:2" x14ac:dyDescent="0.35">
      <c r="A165" s="3"/>
      <c r="B165" s="3"/>
    </row>
    <row r="166" spans="1:2" x14ac:dyDescent="0.35">
      <c r="A166" s="3"/>
      <c r="B166" s="3"/>
    </row>
    <row r="167" spans="1:2" x14ac:dyDescent="0.35">
      <c r="A167" s="3"/>
      <c r="B16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FAF7-6B65-41F8-A5AF-DA8DBC3EB7D8}">
  <dimension ref="A1:G198"/>
  <sheetViews>
    <sheetView topLeftCell="A46" workbookViewId="0">
      <selection activeCell="A68" sqref="A68"/>
    </sheetView>
  </sheetViews>
  <sheetFormatPr defaultRowHeight="17.5" x14ac:dyDescent="0.35"/>
  <cols>
    <col min="1" max="1" width="22.7265625" style="1" customWidth="1"/>
    <col min="2" max="2" width="16.453125" style="1" customWidth="1"/>
    <col min="3" max="3" width="10.1796875" customWidth="1"/>
  </cols>
  <sheetData>
    <row r="1" spans="1:5" x14ac:dyDescent="0.35">
      <c r="A1" s="1" t="s">
        <v>0</v>
      </c>
      <c r="B1" s="1" t="s">
        <v>1</v>
      </c>
      <c r="C1" s="28" t="s">
        <v>240</v>
      </c>
    </row>
    <row r="2" spans="1:5" x14ac:dyDescent="0.35">
      <c r="A2" s="3" t="s">
        <v>180</v>
      </c>
      <c r="B2" s="3" t="s">
        <v>181</v>
      </c>
      <c r="C2" s="30"/>
      <c r="D2">
        <v>100</v>
      </c>
    </row>
    <row r="3" spans="1:5" x14ac:dyDescent="0.35">
      <c r="A3" s="3" t="s">
        <v>241</v>
      </c>
      <c r="B3" s="3" t="s">
        <v>181</v>
      </c>
      <c r="C3" s="30"/>
      <c r="D3">
        <v>50</v>
      </c>
    </row>
    <row r="4" spans="1:5" x14ac:dyDescent="0.35">
      <c r="A4" s="3" t="s">
        <v>9</v>
      </c>
      <c r="B4" s="3" t="s">
        <v>10</v>
      </c>
      <c r="C4" s="29"/>
    </row>
    <row r="5" spans="1:5" x14ac:dyDescent="0.35">
      <c r="A5" s="3" t="s">
        <v>146</v>
      </c>
      <c r="B5" s="3" t="s">
        <v>10</v>
      </c>
      <c r="C5" s="30"/>
      <c r="D5">
        <v>100</v>
      </c>
    </row>
    <row r="6" spans="1:5" x14ac:dyDescent="0.35">
      <c r="A6" s="3" t="s">
        <v>13</v>
      </c>
      <c r="B6" s="3" t="s">
        <v>10</v>
      </c>
      <c r="C6" s="30"/>
    </row>
    <row r="7" spans="1:5" x14ac:dyDescent="0.35">
      <c r="A7" s="3" t="s">
        <v>242</v>
      </c>
      <c r="B7" s="3" t="s">
        <v>16</v>
      </c>
      <c r="C7" s="30"/>
    </row>
    <row r="8" spans="1:5" x14ac:dyDescent="0.35">
      <c r="A8" s="3" t="s">
        <v>18</v>
      </c>
      <c r="B8" s="3" t="s">
        <v>16</v>
      </c>
      <c r="C8" s="30"/>
      <c r="D8">
        <v>250</v>
      </c>
    </row>
    <row r="9" spans="1:5" x14ac:dyDescent="0.35">
      <c r="A9" s="3" t="s">
        <v>178</v>
      </c>
      <c r="B9" s="3" t="s">
        <v>179</v>
      </c>
      <c r="C9" s="30"/>
      <c r="D9">
        <v>75</v>
      </c>
    </row>
    <row r="10" spans="1:5" x14ac:dyDescent="0.35">
      <c r="A10" s="3" t="s">
        <v>46</v>
      </c>
      <c r="B10" s="3" t="s">
        <v>179</v>
      </c>
      <c r="C10" s="30"/>
    </row>
    <row r="11" spans="1:5" x14ac:dyDescent="0.35">
      <c r="A11" s="3" t="s">
        <v>243</v>
      </c>
      <c r="B11" s="3" t="s">
        <v>214</v>
      </c>
      <c r="C11" s="30"/>
    </row>
    <row r="12" spans="1:5" x14ac:dyDescent="0.35">
      <c r="A12" s="3" t="s">
        <v>147</v>
      </c>
      <c r="B12" s="3" t="s">
        <v>214</v>
      </c>
      <c r="C12" s="30"/>
      <c r="D12">
        <v>300</v>
      </c>
    </row>
    <row r="13" spans="1:5" x14ac:dyDescent="0.35">
      <c r="A13" s="3" t="s">
        <v>215</v>
      </c>
      <c r="B13" s="3" t="s">
        <v>214</v>
      </c>
      <c r="C13" s="30"/>
      <c r="D13">
        <v>100</v>
      </c>
    </row>
    <row r="14" spans="1:5" x14ac:dyDescent="0.35">
      <c r="A14" s="3" t="s">
        <v>169</v>
      </c>
      <c r="B14" s="3" t="s">
        <v>217</v>
      </c>
      <c r="C14" s="30"/>
      <c r="E14">
        <v>50</v>
      </c>
    </row>
    <row r="15" spans="1:5" x14ac:dyDescent="0.35">
      <c r="A15" s="26" t="s">
        <v>244</v>
      </c>
      <c r="B15" s="26" t="s">
        <v>29</v>
      </c>
      <c r="C15" s="29"/>
    </row>
    <row r="16" spans="1:5" x14ac:dyDescent="0.35">
      <c r="A16" s="26" t="s">
        <v>245</v>
      </c>
      <c r="B16" s="26" t="s">
        <v>29</v>
      </c>
      <c r="C16" s="30"/>
      <c r="D16">
        <v>50</v>
      </c>
    </row>
    <row r="17" spans="1:5" x14ac:dyDescent="0.35">
      <c r="A17" s="3" t="s">
        <v>183</v>
      </c>
      <c r="B17" s="3" t="s">
        <v>184</v>
      </c>
      <c r="C17" s="30"/>
      <c r="E17">
        <v>50</v>
      </c>
    </row>
    <row r="18" spans="1:5" x14ac:dyDescent="0.35">
      <c r="A18" s="3" t="s">
        <v>25</v>
      </c>
      <c r="B18" s="3" t="s">
        <v>38</v>
      </c>
      <c r="C18" s="30"/>
      <c r="D18">
        <v>50</v>
      </c>
    </row>
    <row r="19" spans="1:5" x14ac:dyDescent="0.35">
      <c r="A19" s="3" t="s">
        <v>148</v>
      </c>
      <c r="B19" s="3" t="s">
        <v>147</v>
      </c>
      <c r="C19" s="30"/>
      <c r="D19">
        <v>100</v>
      </c>
    </row>
    <row r="20" spans="1:5" x14ac:dyDescent="0.35">
      <c r="A20" s="3" t="s">
        <v>33</v>
      </c>
      <c r="B20" s="3" t="s">
        <v>147</v>
      </c>
      <c r="C20" s="30"/>
    </row>
    <row r="21" spans="1:5" x14ac:dyDescent="0.35">
      <c r="A21" s="3" t="s">
        <v>43</v>
      </c>
      <c r="B21" s="3" t="s">
        <v>44</v>
      </c>
      <c r="C21" s="30"/>
      <c r="D21">
        <v>50</v>
      </c>
    </row>
    <row r="22" spans="1:5" x14ac:dyDescent="0.35">
      <c r="A22" s="3" t="s">
        <v>143</v>
      </c>
      <c r="B22" s="3" t="s">
        <v>47</v>
      </c>
      <c r="C22" s="30"/>
      <c r="D22">
        <v>50</v>
      </c>
    </row>
    <row r="23" spans="1:5" x14ac:dyDescent="0.35">
      <c r="A23" s="3" t="s">
        <v>48</v>
      </c>
      <c r="B23" s="3" t="s">
        <v>49</v>
      </c>
      <c r="C23" s="30"/>
      <c r="D23">
        <v>100</v>
      </c>
    </row>
    <row r="24" spans="1:5" x14ac:dyDescent="0.35">
      <c r="A24" s="3" t="s">
        <v>51</v>
      </c>
      <c r="B24" s="3" t="s">
        <v>49</v>
      </c>
      <c r="C24" s="30"/>
    </row>
    <row r="25" spans="1:5" x14ac:dyDescent="0.35">
      <c r="A25" s="3" t="s">
        <v>187</v>
      </c>
      <c r="B25" s="3" t="s">
        <v>188</v>
      </c>
      <c r="C25" s="30"/>
      <c r="D25">
        <v>100</v>
      </c>
    </row>
    <row r="26" spans="1:5" x14ac:dyDescent="0.35">
      <c r="A26" s="3" t="s">
        <v>246</v>
      </c>
      <c r="B26" s="3" t="s">
        <v>188</v>
      </c>
      <c r="C26" s="30"/>
    </row>
    <row r="27" spans="1:5" x14ac:dyDescent="0.35">
      <c r="A27" s="3" t="s">
        <v>247</v>
      </c>
      <c r="B27" s="3" t="s">
        <v>54</v>
      </c>
      <c r="C27" s="30"/>
      <c r="D27">
        <v>200</v>
      </c>
    </row>
    <row r="28" spans="1:5" x14ac:dyDescent="0.35">
      <c r="A28" s="3" t="s">
        <v>53</v>
      </c>
      <c r="B28" s="3" t="s">
        <v>54</v>
      </c>
      <c r="C28" s="30"/>
    </row>
    <row r="29" spans="1:5" x14ac:dyDescent="0.35">
      <c r="A29" s="3" t="s">
        <v>150</v>
      </c>
      <c r="B29" s="3" t="s">
        <v>151</v>
      </c>
      <c r="C29" s="30"/>
      <c r="D29">
        <v>300</v>
      </c>
    </row>
    <row r="30" spans="1:5" x14ac:dyDescent="0.35">
      <c r="A30" s="3" t="s">
        <v>115</v>
      </c>
      <c r="B30" s="3" t="s">
        <v>151</v>
      </c>
      <c r="C30" s="30"/>
    </row>
    <row r="31" spans="1:5" x14ac:dyDescent="0.35">
      <c r="A31" s="3" t="s">
        <v>248</v>
      </c>
      <c r="B31" s="3" t="s">
        <v>57</v>
      </c>
      <c r="C31" s="30"/>
      <c r="D31">
        <v>100</v>
      </c>
    </row>
    <row r="32" spans="1:5" x14ac:dyDescent="0.35">
      <c r="A32" s="3" t="s">
        <v>59</v>
      </c>
      <c r="B32" s="3" t="s">
        <v>57</v>
      </c>
      <c r="C32" s="30"/>
      <c r="D32">
        <v>500</v>
      </c>
    </row>
    <row r="33" spans="1:4" x14ac:dyDescent="0.35">
      <c r="A33" s="3" t="s">
        <v>249</v>
      </c>
      <c r="B33" s="3" t="s">
        <v>62</v>
      </c>
      <c r="C33" s="29"/>
    </row>
    <row r="34" spans="1:4" x14ac:dyDescent="0.35">
      <c r="A34" s="3" t="s">
        <v>64</v>
      </c>
      <c r="B34" s="3" t="s">
        <v>62</v>
      </c>
      <c r="C34" s="30"/>
      <c r="D34">
        <v>150</v>
      </c>
    </row>
    <row r="35" spans="1:4" x14ac:dyDescent="0.35">
      <c r="A35" s="3" t="s">
        <v>250</v>
      </c>
      <c r="B35" s="3" t="s">
        <v>62</v>
      </c>
      <c r="C35" s="30"/>
    </row>
    <row r="36" spans="1:4" x14ac:dyDescent="0.35">
      <c r="A36" s="3" t="s">
        <v>70</v>
      </c>
      <c r="B36" s="3" t="s">
        <v>69</v>
      </c>
      <c r="C36" s="30"/>
      <c r="D36">
        <v>50</v>
      </c>
    </row>
    <row r="37" spans="1:4" x14ac:dyDescent="0.35">
      <c r="A37" s="3" t="s">
        <v>251</v>
      </c>
      <c r="B37" s="3" t="s">
        <v>69</v>
      </c>
      <c r="C37" s="29"/>
    </row>
    <row r="38" spans="1:4" x14ac:dyDescent="0.35">
      <c r="A38" s="19" t="s">
        <v>72</v>
      </c>
      <c r="B38" s="3" t="s">
        <v>69</v>
      </c>
      <c r="C38" s="30"/>
      <c r="D38">
        <v>50</v>
      </c>
    </row>
    <row r="39" spans="1:4" x14ac:dyDescent="0.35">
      <c r="A39" s="3" t="s">
        <v>77</v>
      </c>
      <c r="B39" s="3" t="s">
        <v>69</v>
      </c>
      <c r="C39" s="30"/>
      <c r="D39">
        <v>300</v>
      </c>
    </row>
    <row r="40" spans="1:4" x14ac:dyDescent="0.35">
      <c r="A40" s="3" t="s">
        <v>252</v>
      </c>
      <c r="B40" s="3" t="s">
        <v>81</v>
      </c>
      <c r="C40" s="30"/>
      <c r="D40">
        <v>107</v>
      </c>
    </row>
    <row r="41" spans="1:4" x14ac:dyDescent="0.35">
      <c r="A41" s="3" t="s">
        <v>253</v>
      </c>
      <c r="B41" s="3" t="s">
        <v>81</v>
      </c>
      <c r="C41" s="30"/>
    </row>
    <row r="42" spans="1:4" x14ac:dyDescent="0.35">
      <c r="A42" s="3" t="s">
        <v>254</v>
      </c>
      <c r="B42" s="3" t="s">
        <v>157</v>
      </c>
      <c r="C42" s="30"/>
    </row>
    <row r="43" spans="1:4" x14ac:dyDescent="0.35">
      <c r="A43" s="3" t="s">
        <v>255</v>
      </c>
      <c r="B43" s="3" t="s">
        <v>157</v>
      </c>
      <c r="C43" s="30"/>
      <c r="D43">
        <v>100</v>
      </c>
    </row>
    <row r="44" spans="1:4" x14ac:dyDescent="0.35">
      <c r="A44" s="3" t="s">
        <v>160</v>
      </c>
      <c r="B44" s="3" t="s">
        <v>161</v>
      </c>
      <c r="C44" s="30"/>
      <c r="D44">
        <v>200</v>
      </c>
    </row>
    <row r="45" spans="1:4" x14ac:dyDescent="0.35">
      <c r="A45" s="3" t="s">
        <v>256</v>
      </c>
      <c r="B45" s="3" t="s">
        <v>161</v>
      </c>
      <c r="C45" s="30"/>
    </row>
    <row r="46" spans="1:4" x14ac:dyDescent="0.35">
      <c r="A46" s="3" t="s">
        <v>257</v>
      </c>
      <c r="B46" s="3" t="s">
        <v>84</v>
      </c>
      <c r="C46" s="30"/>
      <c r="D46">
        <v>100</v>
      </c>
    </row>
    <row r="47" spans="1:4" x14ac:dyDescent="0.35">
      <c r="A47" s="3" t="s">
        <v>258</v>
      </c>
      <c r="B47" s="3" t="s">
        <v>84</v>
      </c>
      <c r="C47" s="30"/>
    </row>
    <row r="48" spans="1:4" x14ac:dyDescent="0.35">
      <c r="A48" s="3" t="s">
        <v>36</v>
      </c>
      <c r="B48" s="3" t="s">
        <v>199</v>
      </c>
      <c r="C48" s="30"/>
      <c r="D48">
        <v>100</v>
      </c>
    </row>
    <row r="49" spans="1:5" x14ac:dyDescent="0.35">
      <c r="A49" s="3" t="s">
        <v>86</v>
      </c>
      <c r="B49" s="3" t="s">
        <v>87</v>
      </c>
      <c r="C49" s="29"/>
    </row>
    <row r="50" spans="1:5" x14ac:dyDescent="0.35">
      <c r="A50" s="3" t="s">
        <v>259</v>
      </c>
      <c r="B50" s="3" t="s">
        <v>225</v>
      </c>
      <c r="C50" s="30"/>
      <c r="D50">
        <v>100</v>
      </c>
    </row>
    <row r="51" spans="1:5" x14ac:dyDescent="0.35">
      <c r="A51" s="3" t="s">
        <v>260</v>
      </c>
      <c r="B51" s="3" t="s">
        <v>225</v>
      </c>
      <c r="C51" s="30"/>
    </row>
    <row r="52" spans="1:5" x14ac:dyDescent="0.35">
      <c r="A52" s="3" t="s">
        <v>32</v>
      </c>
      <c r="B52" s="3" t="s">
        <v>200</v>
      </c>
      <c r="C52" s="30"/>
      <c r="D52">
        <v>100</v>
      </c>
    </row>
    <row r="53" spans="1:5" x14ac:dyDescent="0.35">
      <c r="A53" s="3" t="s">
        <v>163</v>
      </c>
      <c r="B53" s="3" t="s">
        <v>164</v>
      </c>
      <c r="C53" s="30"/>
      <c r="E53">
        <v>50</v>
      </c>
    </row>
    <row r="54" spans="1:5" x14ac:dyDescent="0.35">
      <c r="A54" s="3" t="s">
        <v>228</v>
      </c>
      <c r="B54" s="3" t="s">
        <v>229</v>
      </c>
      <c r="C54" s="30"/>
      <c r="D54">
        <v>50</v>
      </c>
    </row>
    <row r="55" spans="1:5" x14ac:dyDescent="0.35">
      <c r="A55" s="3" t="s">
        <v>115</v>
      </c>
      <c r="B55" s="3" t="s">
        <v>165</v>
      </c>
      <c r="C55" s="30"/>
      <c r="D55">
        <v>50</v>
      </c>
    </row>
    <row r="56" spans="1:5" x14ac:dyDescent="0.35">
      <c r="A56" s="3" t="s">
        <v>97</v>
      </c>
      <c r="B56" s="3" t="s">
        <v>98</v>
      </c>
      <c r="C56" s="30"/>
    </row>
    <row r="57" spans="1:5" x14ac:dyDescent="0.35">
      <c r="A57" s="3" t="s">
        <v>261</v>
      </c>
      <c r="B57" s="3" t="s">
        <v>98</v>
      </c>
      <c r="C57" s="30"/>
      <c r="D57">
        <v>100</v>
      </c>
    </row>
    <row r="58" spans="1:5" x14ac:dyDescent="0.35">
      <c r="A58" s="3" t="s">
        <v>262</v>
      </c>
      <c r="B58" s="3" t="s">
        <v>101</v>
      </c>
      <c r="C58" s="30"/>
      <c r="D58">
        <v>200</v>
      </c>
    </row>
    <row r="59" spans="1:5" x14ac:dyDescent="0.35">
      <c r="A59" s="3" t="s">
        <v>103</v>
      </c>
      <c r="B59" s="3" t="s">
        <v>101</v>
      </c>
      <c r="C59" s="30"/>
      <c r="D59">
        <v>150</v>
      </c>
    </row>
    <row r="60" spans="1:5" x14ac:dyDescent="0.35">
      <c r="A60" s="3" t="s">
        <v>105</v>
      </c>
      <c r="B60" s="3" t="s">
        <v>106</v>
      </c>
      <c r="C60" s="30"/>
      <c r="D60">
        <v>100</v>
      </c>
    </row>
    <row r="61" spans="1:5" x14ac:dyDescent="0.35">
      <c r="A61" s="3" t="s">
        <v>263</v>
      </c>
      <c r="B61" s="3" t="s">
        <v>106</v>
      </c>
      <c r="C61" s="30"/>
    </row>
    <row r="62" spans="1:5" x14ac:dyDescent="0.35">
      <c r="A62" s="3" t="s">
        <v>264</v>
      </c>
      <c r="B62" s="3" t="s">
        <v>109</v>
      </c>
      <c r="C62" s="30"/>
      <c r="D62">
        <v>100</v>
      </c>
    </row>
    <row r="63" spans="1:5" x14ac:dyDescent="0.35">
      <c r="A63" s="3" t="s">
        <v>108</v>
      </c>
      <c r="B63" s="3" t="s">
        <v>109</v>
      </c>
      <c r="C63" s="30"/>
    </row>
    <row r="64" spans="1:5" x14ac:dyDescent="0.35">
      <c r="A64" s="3" t="s">
        <v>203</v>
      </c>
      <c r="B64" s="3" t="s">
        <v>204</v>
      </c>
      <c r="C64" s="30"/>
      <c r="D64">
        <v>50</v>
      </c>
    </row>
    <row r="65" spans="1:4" x14ac:dyDescent="0.35">
      <c r="A65" s="3" t="s">
        <v>231</v>
      </c>
      <c r="B65" s="3" t="s">
        <v>232</v>
      </c>
      <c r="C65" s="30"/>
      <c r="D65">
        <v>50</v>
      </c>
    </row>
    <row r="66" spans="1:4" x14ac:dyDescent="0.35">
      <c r="A66" s="3" t="s">
        <v>167</v>
      </c>
      <c r="B66" s="3" t="s">
        <v>168</v>
      </c>
      <c r="C66" s="30"/>
      <c r="D66">
        <v>50</v>
      </c>
    </row>
    <row r="67" spans="1:4" x14ac:dyDescent="0.35">
      <c r="A67" s="3" t="s">
        <v>36</v>
      </c>
      <c r="B67" s="3" t="s">
        <v>205</v>
      </c>
      <c r="C67" s="30"/>
      <c r="D67">
        <v>100</v>
      </c>
    </row>
    <row r="68" spans="1:4" x14ac:dyDescent="0.35">
      <c r="A68" s="3" t="s">
        <v>265</v>
      </c>
      <c r="B68" s="3" t="s">
        <v>205</v>
      </c>
      <c r="C68" s="30"/>
    </row>
    <row r="69" spans="1:4" x14ac:dyDescent="0.35">
      <c r="A69" s="3" t="s">
        <v>110</v>
      </c>
      <c r="B69" s="3" t="s">
        <v>13</v>
      </c>
      <c r="C69" s="30"/>
      <c r="D69">
        <v>100</v>
      </c>
    </row>
    <row r="70" spans="1:4" x14ac:dyDescent="0.35">
      <c r="A70" s="3" t="s">
        <v>169</v>
      </c>
      <c r="B70" s="3" t="s">
        <v>13</v>
      </c>
      <c r="C70" s="30"/>
    </row>
    <row r="71" spans="1:4" x14ac:dyDescent="0.35">
      <c r="A71" s="3" t="s">
        <v>235</v>
      </c>
      <c r="B71" s="3" t="s">
        <v>13</v>
      </c>
      <c r="C71" s="30"/>
      <c r="D71">
        <v>50</v>
      </c>
    </row>
    <row r="72" spans="1:4" x14ac:dyDescent="0.35">
      <c r="A72" s="3" t="s">
        <v>266</v>
      </c>
      <c r="B72" s="3" t="s">
        <v>13</v>
      </c>
      <c r="C72" s="30"/>
      <c r="D72">
        <v>100</v>
      </c>
    </row>
    <row r="73" spans="1:4" x14ac:dyDescent="0.35">
      <c r="A73" s="3" t="s">
        <v>267</v>
      </c>
      <c r="B73" s="3" t="s">
        <v>13</v>
      </c>
      <c r="C73" s="30"/>
    </row>
    <row r="74" spans="1:4" x14ac:dyDescent="0.35">
      <c r="A74" s="3" t="s">
        <v>115</v>
      </c>
      <c r="B74" s="3" t="s">
        <v>116</v>
      </c>
      <c r="C74" s="30"/>
      <c r="D74">
        <v>50</v>
      </c>
    </row>
    <row r="75" spans="1:4" x14ac:dyDescent="0.35">
      <c r="A75" s="3" t="s">
        <v>118</v>
      </c>
      <c r="B75" s="3" t="s">
        <v>119</v>
      </c>
      <c r="C75" s="30"/>
      <c r="D75">
        <v>50</v>
      </c>
    </row>
    <row r="76" spans="1:4" x14ac:dyDescent="0.35">
      <c r="A76" s="3" t="s">
        <v>268</v>
      </c>
      <c r="B76" s="3" t="s">
        <v>121</v>
      </c>
      <c r="C76" s="30"/>
      <c r="D76">
        <v>50</v>
      </c>
    </row>
    <row r="77" spans="1:4" x14ac:dyDescent="0.35">
      <c r="A77" s="3" t="s">
        <v>269</v>
      </c>
      <c r="B77" s="3" t="s">
        <v>121</v>
      </c>
      <c r="C77" s="30"/>
      <c r="D77">
        <v>50</v>
      </c>
    </row>
    <row r="78" spans="1:4" x14ac:dyDescent="0.35">
      <c r="A78" s="3" t="s">
        <v>270</v>
      </c>
      <c r="B78" s="3" t="s">
        <v>122</v>
      </c>
      <c r="C78" s="30"/>
      <c r="D78">
        <v>100</v>
      </c>
    </row>
    <row r="79" spans="1:4" x14ac:dyDescent="0.35">
      <c r="A79" s="3" t="s">
        <v>271</v>
      </c>
      <c r="B79" s="3" t="s">
        <v>122</v>
      </c>
      <c r="C79" s="30"/>
    </row>
    <row r="80" spans="1:4" x14ac:dyDescent="0.35">
      <c r="A80" s="3" t="s">
        <v>128</v>
      </c>
      <c r="B80" s="3" t="s">
        <v>129</v>
      </c>
      <c r="C80" s="30"/>
      <c r="D80">
        <v>50</v>
      </c>
    </row>
    <row r="81" spans="1:7" x14ac:dyDescent="0.35">
      <c r="A81" s="3" t="s">
        <v>272</v>
      </c>
      <c r="B81" s="3" t="s">
        <v>131</v>
      </c>
      <c r="C81" s="30"/>
      <c r="D81">
        <v>100</v>
      </c>
    </row>
    <row r="82" spans="1:7" x14ac:dyDescent="0.35">
      <c r="A82" s="3" t="s">
        <v>133</v>
      </c>
      <c r="B82" s="3" t="s">
        <v>131</v>
      </c>
      <c r="C82" s="30"/>
    </row>
    <row r="83" spans="1:7" x14ac:dyDescent="0.35">
      <c r="A83" s="3" t="s">
        <v>273</v>
      </c>
      <c r="B83" s="27"/>
      <c r="D83">
        <v>600</v>
      </c>
    </row>
    <row r="84" spans="1:7" x14ac:dyDescent="0.35">
      <c r="A84" s="3" t="s">
        <v>274</v>
      </c>
      <c r="B84" s="27"/>
      <c r="D84">
        <v>200</v>
      </c>
    </row>
    <row r="85" spans="1:7" x14ac:dyDescent="0.35">
      <c r="A85" s="3"/>
      <c r="B85" s="27"/>
    </row>
    <row r="86" spans="1:7" x14ac:dyDescent="0.35">
      <c r="A86" s="3"/>
      <c r="B86" s="3" t="s">
        <v>239</v>
      </c>
      <c r="D86">
        <f>SUM(D2:D84)</f>
        <v>6432</v>
      </c>
      <c r="E86">
        <f>SUM(E2:E82)</f>
        <v>150</v>
      </c>
      <c r="G86">
        <f>SUM(D86:E86)</f>
        <v>6582</v>
      </c>
    </row>
    <row r="87" spans="1:7" x14ac:dyDescent="0.35">
      <c r="A87" s="3"/>
      <c r="B87" s="3"/>
    </row>
    <row r="88" spans="1:7" x14ac:dyDescent="0.35">
      <c r="A88" s="3"/>
      <c r="B88" s="3"/>
    </row>
    <row r="89" spans="1:7" x14ac:dyDescent="0.35">
      <c r="A89" s="3"/>
      <c r="B89" s="3"/>
    </row>
    <row r="90" spans="1:7" x14ac:dyDescent="0.35">
      <c r="A90" s="3"/>
      <c r="B90" s="3"/>
    </row>
    <row r="91" spans="1:7" x14ac:dyDescent="0.35">
      <c r="A91" s="3"/>
      <c r="B91" s="3"/>
    </row>
    <row r="92" spans="1:7" x14ac:dyDescent="0.35">
      <c r="A92" s="3"/>
      <c r="B92" s="3"/>
    </row>
    <row r="93" spans="1:7" x14ac:dyDescent="0.35">
      <c r="A93" s="3"/>
      <c r="B93" s="3"/>
    </row>
    <row r="94" spans="1:7" x14ac:dyDescent="0.35">
      <c r="A94" s="3"/>
      <c r="B94" s="3"/>
    </row>
    <row r="95" spans="1:7" x14ac:dyDescent="0.35">
      <c r="A95" s="3"/>
      <c r="B95" s="3"/>
    </row>
    <row r="96" spans="1:7" x14ac:dyDescent="0.35">
      <c r="A96" s="3"/>
      <c r="B96" s="3"/>
    </row>
    <row r="97" spans="1:2" x14ac:dyDescent="0.35">
      <c r="A97" s="3"/>
      <c r="B97" s="3"/>
    </row>
    <row r="98" spans="1:2" x14ac:dyDescent="0.35">
      <c r="A98" s="3"/>
      <c r="B98" s="3"/>
    </row>
    <row r="99" spans="1:2" x14ac:dyDescent="0.35">
      <c r="A99" s="3"/>
      <c r="B99" s="3"/>
    </row>
    <row r="100" spans="1:2" x14ac:dyDescent="0.35">
      <c r="A100" s="3"/>
      <c r="B100" s="3"/>
    </row>
    <row r="101" spans="1:2" x14ac:dyDescent="0.35">
      <c r="A101" s="3"/>
      <c r="B101" s="3"/>
    </row>
    <row r="102" spans="1:2" x14ac:dyDescent="0.35">
      <c r="A102" s="3"/>
      <c r="B102" s="3"/>
    </row>
    <row r="103" spans="1:2" x14ac:dyDescent="0.35">
      <c r="A103" s="3"/>
      <c r="B103" s="3"/>
    </row>
    <row r="104" spans="1:2" x14ac:dyDescent="0.35">
      <c r="A104" s="3"/>
      <c r="B104" s="3"/>
    </row>
    <row r="105" spans="1:2" x14ac:dyDescent="0.35">
      <c r="A105" s="3"/>
      <c r="B105" s="3"/>
    </row>
    <row r="106" spans="1:2" x14ac:dyDescent="0.35">
      <c r="A106" s="3"/>
      <c r="B106" s="3"/>
    </row>
    <row r="107" spans="1:2" x14ac:dyDescent="0.35">
      <c r="A107" s="3"/>
      <c r="B107" s="3"/>
    </row>
    <row r="108" spans="1:2" x14ac:dyDescent="0.35">
      <c r="A108" s="3"/>
      <c r="B108" s="3"/>
    </row>
    <row r="109" spans="1:2" x14ac:dyDescent="0.35">
      <c r="A109" s="3"/>
      <c r="B109" s="3"/>
    </row>
    <row r="110" spans="1:2" x14ac:dyDescent="0.35">
      <c r="A110" s="3"/>
      <c r="B110" s="3"/>
    </row>
    <row r="111" spans="1:2" x14ac:dyDescent="0.35">
      <c r="A111" s="3"/>
      <c r="B111" s="3"/>
    </row>
    <row r="112" spans="1:2" x14ac:dyDescent="0.35">
      <c r="A112" s="3"/>
      <c r="B112" s="3"/>
    </row>
    <row r="113" spans="1:2" x14ac:dyDescent="0.35">
      <c r="A113" s="3"/>
      <c r="B113" s="3"/>
    </row>
    <row r="114" spans="1:2" x14ac:dyDescent="0.35">
      <c r="A114" s="3"/>
      <c r="B114" s="3"/>
    </row>
    <row r="115" spans="1:2" x14ac:dyDescent="0.35">
      <c r="A115" s="3"/>
      <c r="B115" s="3"/>
    </row>
    <row r="116" spans="1:2" x14ac:dyDescent="0.35">
      <c r="A116" s="3"/>
      <c r="B116" s="3"/>
    </row>
    <row r="117" spans="1:2" x14ac:dyDescent="0.35">
      <c r="A117" s="3"/>
      <c r="B117" s="3"/>
    </row>
    <row r="118" spans="1:2" x14ac:dyDescent="0.35">
      <c r="A118" s="3"/>
      <c r="B118" s="3"/>
    </row>
    <row r="119" spans="1:2" x14ac:dyDescent="0.35">
      <c r="A119" s="3"/>
      <c r="B119" s="3"/>
    </row>
    <row r="120" spans="1:2" x14ac:dyDescent="0.35">
      <c r="A120" s="3"/>
      <c r="B120" s="3"/>
    </row>
    <row r="121" spans="1:2" x14ac:dyDescent="0.35">
      <c r="A121" s="3"/>
      <c r="B121" s="3"/>
    </row>
    <row r="122" spans="1:2" x14ac:dyDescent="0.35">
      <c r="A122" s="3"/>
      <c r="B122" s="3"/>
    </row>
    <row r="123" spans="1:2" x14ac:dyDescent="0.35">
      <c r="A123" s="3"/>
      <c r="B123" s="3"/>
    </row>
    <row r="124" spans="1:2" x14ac:dyDescent="0.35">
      <c r="A124" s="3"/>
      <c r="B124" s="3"/>
    </row>
    <row r="125" spans="1:2" x14ac:dyDescent="0.35">
      <c r="A125" s="3"/>
      <c r="B125" s="3"/>
    </row>
    <row r="126" spans="1:2" x14ac:dyDescent="0.35">
      <c r="A126" s="3"/>
      <c r="B126" s="3"/>
    </row>
    <row r="127" spans="1:2" x14ac:dyDescent="0.35">
      <c r="A127" s="3"/>
      <c r="B127" s="3"/>
    </row>
    <row r="128" spans="1:2" x14ac:dyDescent="0.35">
      <c r="A128" s="3"/>
      <c r="B128" s="3"/>
    </row>
    <row r="129" spans="1:2" x14ac:dyDescent="0.35">
      <c r="A129" s="3"/>
      <c r="B129" s="3"/>
    </row>
    <row r="130" spans="1:2" x14ac:dyDescent="0.35">
      <c r="A130" s="3"/>
      <c r="B130" s="3"/>
    </row>
    <row r="131" spans="1:2" x14ac:dyDescent="0.35">
      <c r="A131" s="3"/>
      <c r="B131" s="3"/>
    </row>
    <row r="132" spans="1:2" x14ac:dyDescent="0.35">
      <c r="A132" s="3"/>
      <c r="B132" s="3"/>
    </row>
    <row r="133" spans="1:2" x14ac:dyDescent="0.35">
      <c r="A133" s="3"/>
      <c r="B133" s="3"/>
    </row>
    <row r="134" spans="1:2" x14ac:dyDescent="0.35">
      <c r="A134" s="3"/>
      <c r="B134" s="3"/>
    </row>
    <row r="135" spans="1:2" x14ac:dyDescent="0.35">
      <c r="A135" s="3"/>
      <c r="B135" s="3"/>
    </row>
    <row r="136" spans="1:2" x14ac:dyDescent="0.35">
      <c r="A136" s="3"/>
      <c r="B136" s="3"/>
    </row>
    <row r="137" spans="1:2" x14ac:dyDescent="0.35">
      <c r="A137" s="3"/>
      <c r="B137" s="3"/>
    </row>
    <row r="138" spans="1:2" x14ac:dyDescent="0.35">
      <c r="A138" s="3"/>
      <c r="B138" s="3"/>
    </row>
    <row r="139" spans="1:2" x14ac:dyDescent="0.35">
      <c r="A139" s="3"/>
      <c r="B139" s="3"/>
    </row>
    <row r="140" spans="1:2" x14ac:dyDescent="0.35">
      <c r="A140" s="3"/>
      <c r="B140" s="3"/>
    </row>
    <row r="141" spans="1:2" x14ac:dyDescent="0.35">
      <c r="A141" s="3"/>
      <c r="B141" s="3"/>
    </row>
    <row r="142" spans="1:2" x14ac:dyDescent="0.35">
      <c r="A142" s="3"/>
      <c r="B142" s="3"/>
    </row>
    <row r="143" spans="1:2" x14ac:dyDescent="0.35">
      <c r="A143" s="3"/>
      <c r="B143" s="3"/>
    </row>
    <row r="144" spans="1:2" x14ac:dyDescent="0.35">
      <c r="A144" s="3"/>
      <c r="B144" s="3"/>
    </row>
    <row r="145" spans="1:2" x14ac:dyDescent="0.35">
      <c r="A145" s="3"/>
      <c r="B145" s="3"/>
    </row>
    <row r="146" spans="1:2" x14ac:dyDescent="0.35">
      <c r="A146" s="3"/>
      <c r="B146" s="3"/>
    </row>
    <row r="147" spans="1:2" x14ac:dyDescent="0.35">
      <c r="A147" s="3"/>
      <c r="B147" s="3"/>
    </row>
    <row r="148" spans="1:2" x14ac:dyDescent="0.35">
      <c r="A148" s="3"/>
      <c r="B148" s="3"/>
    </row>
    <row r="149" spans="1:2" x14ac:dyDescent="0.35">
      <c r="A149" s="3"/>
      <c r="B149" s="3"/>
    </row>
    <row r="150" spans="1:2" x14ac:dyDescent="0.35">
      <c r="A150" s="3"/>
      <c r="B150" s="3"/>
    </row>
    <row r="151" spans="1:2" x14ac:dyDescent="0.35">
      <c r="A151" s="3"/>
      <c r="B151" s="3"/>
    </row>
    <row r="152" spans="1:2" x14ac:dyDescent="0.35">
      <c r="A152" s="3"/>
      <c r="B152" s="3"/>
    </row>
    <row r="153" spans="1:2" x14ac:dyDescent="0.35">
      <c r="A153" s="3"/>
      <c r="B153" s="3"/>
    </row>
    <row r="154" spans="1:2" x14ac:dyDescent="0.35">
      <c r="A154" s="3"/>
      <c r="B154" s="3"/>
    </row>
    <row r="155" spans="1:2" x14ac:dyDescent="0.35">
      <c r="A155" s="3"/>
      <c r="B155" s="3"/>
    </row>
    <row r="156" spans="1:2" x14ac:dyDescent="0.35">
      <c r="A156" s="3"/>
      <c r="B156" s="3"/>
    </row>
    <row r="157" spans="1:2" x14ac:dyDescent="0.35">
      <c r="A157" s="3"/>
      <c r="B157" s="3"/>
    </row>
    <row r="158" spans="1:2" x14ac:dyDescent="0.35">
      <c r="A158" s="3"/>
      <c r="B158" s="3"/>
    </row>
    <row r="159" spans="1:2" x14ac:dyDescent="0.35">
      <c r="A159" s="3"/>
      <c r="B159" s="3"/>
    </row>
    <row r="160" spans="1:2" x14ac:dyDescent="0.35">
      <c r="A160" s="3"/>
      <c r="B160" s="3"/>
    </row>
    <row r="161" spans="1:2" x14ac:dyDescent="0.35">
      <c r="A161" s="3"/>
      <c r="B161" s="3"/>
    </row>
    <row r="162" spans="1:2" x14ac:dyDescent="0.35">
      <c r="A162" s="3"/>
      <c r="B162" s="3"/>
    </row>
    <row r="163" spans="1:2" x14ac:dyDescent="0.35">
      <c r="A163" s="3"/>
      <c r="B163" s="3"/>
    </row>
    <row r="164" spans="1:2" x14ac:dyDescent="0.35">
      <c r="A164" s="3"/>
      <c r="B164" s="3"/>
    </row>
    <row r="165" spans="1:2" x14ac:dyDescent="0.35">
      <c r="A165" s="3"/>
      <c r="B165" s="3"/>
    </row>
    <row r="166" spans="1:2" x14ac:dyDescent="0.35">
      <c r="A166" s="3"/>
      <c r="B166" s="3"/>
    </row>
    <row r="167" spans="1:2" x14ac:dyDescent="0.35">
      <c r="A167" s="3"/>
      <c r="B167" s="3"/>
    </row>
    <row r="168" spans="1:2" x14ac:dyDescent="0.35">
      <c r="A168" s="3"/>
      <c r="B168" s="3"/>
    </row>
    <row r="169" spans="1:2" x14ac:dyDescent="0.35">
      <c r="A169" s="3"/>
      <c r="B169" s="3"/>
    </row>
    <row r="170" spans="1:2" x14ac:dyDescent="0.35">
      <c r="A170" s="3"/>
      <c r="B170" s="3"/>
    </row>
    <row r="171" spans="1:2" x14ac:dyDescent="0.35">
      <c r="A171" s="3"/>
      <c r="B171" s="3"/>
    </row>
    <row r="172" spans="1:2" x14ac:dyDescent="0.35">
      <c r="A172" s="3"/>
      <c r="B172" s="3"/>
    </row>
    <row r="173" spans="1:2" x14ac:dyDescent="0.35">
      <c r="A173" s="3"/>
      <c r="B173" s="3"/>
    </row>
    <row r="174" spans="1:2" x14ac:dyDescent="0.35">
      <c r="A174" s="3"/>
      <c r="B174" s="3"/>
    </row>
    <row r="175" spans="1:2" x14ac:dyDescent="0.35">
      <c r="A175" s="3"/>
      <c r="B175" s="3"/>
    </row>
    <row r="176" spans="1:2" x14ac:dyDescent="0.35">
      <c r="A176" s="3"/>
      <c r="B176" s="3"/>
    </row>
    <row r="177" spans="1:2" x14ac:dyDescent="0.35">
      <c r="A177" s="3"/>
      <c r="B177" s="3"/>
    </row>
    <row r="178" spans="1:2" x14ac:dyDescent="0.35">
      <c r="A178" s="3"/>
      <c r="B178" s="3"/>
    </row>
    <row r="179" spans="1:2" x14ac:dyDescent="0.35">
      <c r="A179" s="3"/>
      <c r="B179" s="3"/>
    </row>
    <row r="180" spans="1:2" x14ac:dyDescent="0.35">
      <c r="A180" s="3"/>
      <c r="B180" s="3"/>
    </row>
    <row r="181" spans="1:2" x14ac:dyDescent="0.35">
      <c r="A181" s="3"/>
      <c r="B181" s="3"/>
    </row>
    <row r="182" spans="1:2" x14ac:dyDescent="0.35">
      <c r="A182" s="3"/>
      <c r="B182" s="3"/>
    </row>
    <row r="183" spans="1:2" x14ac:dyDescent="0.35">
      <c r="A183" s="3"/>
      <c r="B183" s="3"/>
    </row>
    <row r="184" spans="1:2" x14ac:dyDescent="0.35">
      <c r="A184" s="3"/>
      <c r="B184" s="3"/>
    </row>
    <row r="185" spans="1:2" x14ac:dyDescent="0.35">
      <c r="A185" s="3"/>
      <c r="B185" s="3"/>
    </row>
    <row r="186" spans="1:2" x14ac:dyDescent="0.35">
      <c r="A186" s="3"/>
      <c r="B186" s="3"/>
    </row>
    <row r="187" spans="1:2" x14ac:dyDescent="0.35">
      <c r="A187" s="3"/>
      <c r="B187" s="3"/>
    </row>
    <row r="188" spans="1:2" x14ac:dyDescent="0.35">
      <c r="A188" s="3"/>
      <c r="B188" s="3"/>
    </row>
    <row r="189" spans="1:2" x14ac:dyDescent="0.35">
      <c r="A189" s="3"/>
      <c r="B189" s="3"/>
    </row>
    <row r="190" spans="1:2" x14ac:dyDescent="0.35">
      <c r="A190" s="3"/>
      <c r="B190" s="3"/>
    </row>
    <row r="191" spans="1:2" x14ac:dyDescent="0.35">
      <c r="A191" s="3"/>
      <c r="B191" s="3"/>
    </row>
    <row r="192" spans="1:2" x14ac:dyDescent="0.35">
      <c r="A192" s="3"/>
      <c r="B192" s="3"/>
    </row>
    <row r="193" spans="1:2" x14ac:dyDescent="0.35">
      <c r="A193" s="3"/>
      <c r="B193" s="3"/>
    </row>
    <row r="194" spans="1:2" x14ac:dyDescent="0.35">
      <c r="A194" s="3"/>
      <c r="B194" s="3"/>
    </row>
    <row r="195" spans="1:2" x14ac:dyDescent="0.35">
      <c r="A195" s="3"/>
      <c r="B195" s="3"/>
    </row>
    <row r="196" spans="1:2" x14ac:dyDescent="0.35">
      <c r="A196" s="3"/>
      <c r="B196" s="3"/>
    </row>
    <row r="197" spans="1:2" x14ac:dyDescent="0.35">
      <c r="A197" s="3"/>
      <c r="B197" s="3"/>
    </row>
    <row r="198" spans="1:2" x14ac:dyDescent="0.35">
      <c r="A198" s="3"/>
      <c r="B198" s="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EC10-C6AD-4203-ACBF-26A0BAEF2F32}">
  <dimension ref="A1:N182"/>
  <sheetViews>
    <sheetView zoomScale="60" zoomScaleNormal="60" workbookViewId="0">
      <pane ySplit="1" topLeftCell="A36" activePane="bottomLeft" state="frozen"/>
      <selection pane="bottomLeft" activeCell="N19" sqref="N19"/>
    </sheetView>
  </sheetViews>
  <sheetFormatPr defaultRowHeight="17.5" x14ac:dyDescent="0.35"/>
  <cols>
    <col min="1" max="1" width="16.453125" style="1" customWidth="1"/>
    <col min="2" max="2" width="28.453125" style="1" bestFit="1" customWidth="1"/>
    <col min="3" max="3" width="23.453125" style="5" customWidth="1"/>
    <col min="4" max="13" width="16.453125" style="5" customWidth="1"/>
    <col min="14" max="14" width="23" style="33" customWidth="1"/>
  </cols>
  <sheetData>
    <row r="1" spans="1:14" x14ac:dyDescent="0.35">
      <c r="A1" s="1" t="s">
        <v>1</v>
      </c>
      <c r="B1" s="1" t="s">
        <v>0</v>
      </c>
      <c r="C1" s="4" t="s">
        <v>275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28" t="s">
        <v>276</v>
      </c>
    </row>
    <row r="2" spans="1:14" x14ac:dyDescent="0.35">
      <c r="A2" s="3" t="s">
        <v>181</v>
      </c>
      <c r="B2" s="3" t="s">
        <v>277</v>
      </c>
      <c r="C2" s="6">
        <v>10</v>
      </c>
      <c r="D2" s="5">
        <v>50</v>
      </c>
      <c r="N2" s="33">
        <f>100-SUM(D2:M2)+C2</f>
        <v>60</v>
      </c>
    </row>
    <row r="3" spans="1:14" x14ac:dyDescent="0.35">
      <c r="A3" s="3" t="s">
        <v>278</v>
      </c>
      <c r="B3" s="3" t="s">
        <v>279</v>
      </c>
      <c r="D3" s="25"/>
      <c r="E3" s="5" t="s">
        <v>185</v>
      </c>
      <c r="N3" s="33">
        <f>100-SUM(D3:M3)+C3</f>
        <v>100</v>
      </c>
    </row>
    <row r="4" spans="1:14" x14ac:dyDescent="0.35">
      <c r="A4" s="3" t="s">
        <v>10</v>
      </c>
      <c r="B4" s="3" t="s">
        <v>9</v>
      </c>
      <c r="C4" s="23">
        <v>120</v>
      </c>
      <c r="K4" s="5">
        <v>35</v>
      </c>
      <c r="L4" s="5">
        <v>35</v>
      </c>
      <c r="N4" s="33">
        <f>50-SUM(D4:M4)+C4</f>
        <v>100</v>
      </c>
    </row>
    <row r="5" spans="1:14" x14ac:dyDescent="0.35">
      <c r="A5" s="3" t="s">
        <v>10</v>
      </c>
      <c r="B5" s="3" t="s">
        <v>175</v>
      </c>
      <c r="C5" s="23">
        <v>100</v>
      </c>
      <c r="G5" s="24"/>
      <c r="H5" s="5">
        <v>100</v>
      </c>
      <c r="N5" s="33">
        <f t="shared" ref="N5:N68" si="0">100-SUM(D5:M5)+C5</f>
        <v>100</v>
      </c>
    </row>
    <row r="6" spans="1:14" x14ac:dyDescent="0.35">
      <c r="A6" s="3" t="s">
        <v>16</v>
      </c>
      <c r="B6" s="3" t="s">
        <v>176</v>
      </c>
      <c r="C6" s="6"/>
      <c r="F6" s="5">
        <v>100</v>
      </c>
      <c r="N6" s="33">
        <f t="shared" si="0"/>
        <v>0</v>
      </c>
    </row>
    <row r="7" spans="1:14" x14ac:dyDescent="0.35">
      <c r="A7" s="3" t="s">
        <v>179</v>
      </c>
      <c r="B7" s="3" t="s">
        <v>332</v>
      </c>
      <c r="C7" s="23">
        <v>100</v>
      </c>
      <c r="G7" s="5">
        <v>100</v>
      </c>
      <c r="K7" s="5">
        <v>100</v>
      </c>
      <c r="N7" s="33">
        <f t="shared" si="0"/>
        <v>0</v>
      </c>
    </row>
    <row r="8" spans="1:14" x14ac:dyDescent="0.35">
      <c r="A8" s="3" t="s">
        <v>214</v>
      </c>
      <c r="B8" s="3" t="s">
        <v>193</v>
      </c>
      <c r="C8" s="6"/>
      <c r="F8" s="5">
        <v>100</v>
      </c>
      <c r="N8" s="33">
        <f t="shared" si="0"/>
        <v>0</v>
      </c>
    </row>
    <row r="9" spans="1:14" x14ac:dyDescent="0.35">
      <c r="A9" s="3" t="s">
        <v>214</v>
      </c>
      <c r="B9" s="3" t="s">
        <v>215</v>
      </c>
      <c r="C9" s="6"/>
      <c r="F9" s="5">
        <v>50</v>
      </c>
      <c r="G9" s="5">
        <v>50</v>
      </c>
      <c r="N9" s="33">
        <f t="shared" si="0"/>
        <v>0</v>
      </c>
    </row>
    <row r="10" spans="1:14" x14ac:dyDescent="0.35">
      <c r="A10" s="3" t="s">
        <v>280</v>
      </c>
      <c r="B10" s="3" t="s">
        <v>281</v>
      </c>
      <c r="C10" s="6"/>
      <c r="D10" s="5">
        <v>20</v>
      </c>
      <c r="F10" s="5">
        <v>10</v>
      </c>
      <c r="K10" s="5">
        <v>20</v>
      </c>
      <c r="N10" s="33">
        <f t="shared" si="0"/>
        <v>50</v>
      </c>
    </row>
    <row r="11" spans="1:14" x14ac:dyDescent="0.35">
      <c r="A11" s="3" t="s">
        <v>217</v>
      </c>
      <c r="B11" s="3" t="s">
        <v>169</v>
      </c>
      <c r="C11" s="23">
        <v>20</v>
      </c>
      <c r="N11" s="33">
        <f t="shared" si="0"/>
        <v>120</v>
      </c>
    </row>
    <row r="12" spans="1:14" x14ac:dyDescent="0.35">
      <c r="A12" s="26" t="s">
        <v>29</v>
      </c>
      <c r="B12" s="26" t="s">
        <v>218</v>
      </c>
      <c r="C12" s="23">
        <v>50</v>
      </c>
      <c r="G12" s="5">
        <v>50</v>
      </c>
      <c r="I12" s="5">
        <v>50</v>
      </c>
      <c r="J12" s="5">
        <v>50</v>
      </c>
      <c r="N12" s="33">
        <f t="shared" si="0"/>
        <v>0</v>
      </c>
    </row>
    <row r="13" spans="1:14" x14ac:dyDescent="0.35">
      <c r="A13" s="3" t="s">
        <v>184</v>
      </c>
      <c r="B13" s="3" t="s">
        <v>183</v>
      </c>
      <c r="C13" s="23">
        <v>30</v>
      </c>
      <c r="N13" s="33">
        <f t="shared" si="0"/>
        <v>130</v>
      </c>
    </row>
    <row r="14" spans="1:14" x14ac:dyDescent="0.35">
      <c r="A14" s="3" t="s">
        <v>282</v>
      </c>
      <c r="B14" s="3" t="s">
        <v>283</v>
      </c>
      <c r="D14" s="25"/>
      <c r="E14" s="5" t="s">
        <v>185</v>
      </c>
      <c r="F14" s="5">
        <v>20</v>
      </c>
      <c r="N14" s="33">
        <f t="shared" si="0"/>
        <v>80</v>
      </c>
    </row>
    <row r="15" spans="1:14" x14ac:dyDescent="0.35">
      <c r="A15" s="3" t="s">
        <v>326</v>
      </c>
      <c r="B15" s="3" t="s">
        <v>327</v>
      </c>
      <c r="C15" s="25"/>
      <c r="J15" s="5" t="s">
        <v>185</v>
      </c>
      <c r="K15" s="5">
        <v>100</v>
      </c>
      <c r="N15" s="33">
        <f t="shared" si="0"/>
        <v>0</v>
      </c>
    </row>
    <row r="16" spans="1:14" x14ac:dyDescent="0.35">
      <c r="A16" s="3" t="s">
        <v>147</v>
      </c>
      <c r="B16" s="3" t="s">
        <v>219</v>
      </c>
      <c r="C16" s="6"/>
      <c r="D16" s="5">
        <v>15</v>
      </c>
      <c r="E16" s="5">
        <v>15</v>
      </c>
      <c r="F16" s="5">
        <v>15</v>
      </c>
      <c r="G16" s="5">
        <v>15</v>
      </c>
      <c r="H16" s="5">
        <v>15</v>
      </c>
      <c r="I16" s="5">
        <v>15</v>
      </c>
      <c r="J16" s="5">
        <v>15</v>
      </c>
      <c r="K16" s="5">
        <v>15</v>
      </c>
      <c r="L16" s="5">
        <v>15</v>
      </c>
      <c r="M16" s="5">
        <v>15</v>
      </c>
      <c r="N16" s="33">
        <f>100-SUM(D16:M16)+C16</f>
        <v>-50</v>
      </c>
    </row>
    <row r="17" spans="1:14" x14ac:dyDescent="0.35">
      <c r="A17" s="3" t="s">
        <v>147</v>
      </c>
      <c r="B17" s="3" t="s">
        <v>178</v>
      </c>
      <c r="C17" s="25"/>
      <c r="D17" s="25"/>
      <c r="E17" s="25"/>
      <c r="F17" s="25"/>
      <c r="G17" s="25"/>
      <c r="H17" s="25"/>
      <c r="I17" s="5" t="s">
        <v>185</v>
      </c>
      <c r="J17" s="5">
        <v>10</v>
      </c>
      <c r="N17" s="33">
        <f>50-SUM(D17:M17)+C17</f>
        <v>40</v>
      </c>
    </row>
    <row r="18" spans="1:14" x14ac:dyDescent="0.35">
      <c r="A18" s="3" t="s">
        <v>324</v>
      </c>
      <c r="B18" s="3" t="s">
        <v>325</v>
      </c>
      <c r="C18" s="25"/>
      <c r="D18" s="25"/>
      <c r="E18" s="25"/>
      <c r="F18" s="25"/>
      <c r="G18" s="25"/>
      <c r="H18" s="25"/>
      <c r="I18" s="5" t="s">
        <v>185</v>
      </c>
      <c r="J18" s="5">
        <v>25</v>
      </c>
      <c r="N18" s="33">
        <f>25-SUM(D18:M18)+C18</f>
        <v>0</v>
      </c>
    </row>
    <row r="19" spans="1:14" x14ac:dyDescent="0.35">
      <c r="A19" s="3" t="s">
        <v>44</v>
      </c>
      <c r="B19" s="3" t="s">
        <v>43</v>
      </c>
      <c r="C19" s="6"/>
      <c r="M19" s="5">
        <v>50</v>
      </c>
      <c r="N19" s="33">
        <f>50-SUM(D19:M19)+C19</f>
        <v>0</v>
      </c>
    </row>
    <row r="20" spans="1:14" x14ac:dyDescent="0.35">
      <c r="A20" s="3" t="s">
        <v>47</v>
      </c>
      <c r="B20" s="3" t="s">
        <v>143</v>
      </c>
      <c r="C20" s="23">
        <v>50</v>
      </c>
      <c r="H20" s="5">
        <v>60</v>
      </c>
      <c r="N20" s="33">
        <f>50-SUM(D20:M20)+C20</f>
        <v>40</v>
      </c>
    </row>
    <row r="21" spans="1:14" x14ac:dyDescent="0.35">
      <c r="A21" s="3" t="s">
        <v>49</v>
      </c>
      <c r="B21" s="3" t="s">
        <v>186</v>
      </c>
      <c r="C21" s="6"/>
      <c r="J21" s="5">
        <v>100</v>
      </c>
      <c r="N21" s="33">
        <f t="shared" si="0"/>
        <v>0</v>
      </c>
    </row>
    <row r="22" spans="1:14" x14ac:dyDescent="0.35">
      <c r="A22" s="3" t="s">
        <v>295</v>
      </c>
      <c r="B22" s="3" t="s">
        <v>115</v>
      </c>
      <c r="C22" s="6"/>
    </row>
    <row r="23" spans="1:14" x14ac:dyDescent="0.35">
      <c r="A23" s="3" t="s">
        <v>284</v>
      </c>
      <c r="B23" s="3" t="s">
        <v>285</v>
      </c>
      <c r="D23" s="25"/>
      <c r="E23" s="5" t="s">
        <v>185</v>
      </c>
      <c r="N23" s="33">
        <f t="shared" si="0"/>
        <v>100</v>
      </c>
    </row>
    <row r="24" spans="1:14" x14ac:dyDescent="0.35">
      <c r="A24" s="3" t="s">
        <v>188</v>
      </c>
      <c r="B24" s="3" t="s">
        <v>286</v>
      </c>
      <c r="C24" s="6">
        <v>50</v>
      </c>
      <c r="D24" s="5">
        <v>50</v>
      </c>
      <c r="H24" s="5">
        <v>100</v>
      </c>
      <c r="N24" s="33">
        <f t="shared" si="0"/>
        <v>0</v>
      </c>
    </row>
    <row r="25" spans="1:14" x14ac:dyDescent="0.35">
      <c r="A25" s="3" t="s">
        <v>54</v>
      </c>
      <c r="B25" s="3" t="s">
        <v>53</v>
      </c>
      <c r="C25" s="6"/>
      <c r="N25" s="33">
        <f t="shared" si="0"/>
        <v>100</v>
      </c>
    </row>
    <row r="26" spans="1:14" x14ac:dyDescent="0.35">
      <c r="A26" s="3" t="s">
        <v>151</v>
      </c>
      <c r="B26" s="3" t="s">
        <v>287</v>
      </c>
      <c r="C26" s="6"/>
      <c r="N26" s="33">
        <f t="shared" si="0"/>
        <v>100</v>
      </c>
    </row>
    <row r="27" spans="1:14" x14ac:dyDescent="0.35">
      <c r="A27" s="3" t="s">
        <v>296</v>
      </c>
      <c r="B27" s="3" t="s">
        <v>297</v>
      </c>
      <c r="C27" s="25"/>
      <c r="D27" s="25"/>
      <c r="E27" s="25"/>
      <c r="F27" s="25"/>
      <c r="G27" s="25"/>
      <c r="H27" s="25"/>
      <c r="I27" s="5" t="s">
        <v>185</v>
      </c>
      <c r="J27" s="5">
        <v>70</v>
      </c>
      <c r="N27" s="33">
        <f>50-SUM(D27:M27)+C27</f>
        <v>-20</v>
      </c>
    </row>
    <row r="28" spans="1:14" x14ac:dyDescent="0.35">
      <c r="A28" s="3" t="s">
        <v>298</v>
      </c>
      <c r="B28" s="3" t="s">
        <v>315</v>
      </c>
      <c r="C28" s="6"/>
      <c r="H28" s="5" t="s">
        <v>185</v>
      </c>
      <c r="N28" s="33">
        <f>50-SUM(D28:M28)+C28</f>
        <v>50</v>
      </c>
    </row>
    <row r="29" spans="1:14" x14ac:dyDescent="0.35">
      <c r="A29" s="3" t="s">
        <v>57</v>
      </c>
      <c r="B29" s="3" t="s">
        <v>191</v>
      </c>
      <c r="C29" s="6"/>
      <c r="E29" s="5">
        <v>50</v>
      </c>
      <c r="K29" s="5">
        <v>80</v>
      </c>
      <c r="N29" s="33">
        <f t="shared" si="0"/>
        <v>-30</v>
      </c>
    </row>
    <row r="30" spans="1:14" x14ac:dyDescent="0.35">
      <c r="A30" s="3" t="s">
        <v>321</v>
      </c>
      <c r="B30" s="3" t="s">
        <v>322</v>
      </c>
      <c r="C30" s="25"/>
      <c r="D30" s="25"/>
      <c r="E30" s="25"/>
      <c r="F30" s="25"/>
      <c r="G30" s="25"/>
      <c r="H30" s="25"/>
      <c r="I30" s="5" t="s">
        <v>323</v>
      </c>
      <c r="J30" s="5">
        <v>50</v>
      </c>
      <c r="N30" s="33">
        <f>50-SUM(D30:M30)+C30</f>
        <v>0</v>
      </c>
    </row>
    <row r="31" spans="1:14" x14ac:dyDescent="0.35">
      <c r="A31" s="3" t="s">
        <v>62</v>
      </c>
      <c r="B31" s="3" t="s">
        <v>192</v>
      </c>
      <c r="C31" s="6"/>
      <c r="N31" s="33">
        <f t="shared" si="0"/>
        <v>100</v>
      </c>
    </row>
    <row r="32" spans="1:14" x14ac:dyDescent="0.35">
      <c r="A32" s="3" t="s">
        <v>69</v>
      </c>
      <c r="B32" s="3" t="s">
        <v>70</v>
      </c>
      <c r="C32" s="6"/>
      <c r="D32" s="5">
        <v>20</v>
      </c>
      <c r="F32" s="5">
        <v>20</v>
      </c>
      <c r="N32" s="33">
        <f t="shared" si="0"/>
        <v>60</v>
      </c>
    </row>
    <row r="33" spans="1:14" x14ac:dyDescent="0.35">
      <c r="A33" s="3" t="s">
        <v>69</v>
      </c>
      <c r="B33" s="3" t="s">
        <v>72</v>
      </c>
      <c r="C33" s="23">
        <v>90</v>
      </c>
      <c r="G33" s="5">
        <v>40</v>
      </c>
      <c r="H33" s="5">
        <v>15</v>
      </c>
      <c r="N33" s="33">
        <f>50-SUM(D33:M33)+C33</f>
        <v>85</v>
      </c>
    </row>
    <row r="34" spans="1:14" x14ac:dyDescent="0.35">
      <c r="A34" s="3" t="s">
        <v>69</v>
      </c>
      <c r="B34" s="3" t="s">
        <v>77</v>
      </c>
      <c r="C34" s="6"/>
      <c r="N34" s="33">
        <f>50-SUM(D34:M34)+C34</f>
        <v>50</v>
      </c>
    </row>
    <row r="35" spans="1:14" x14ac:dyDescent="0.35">
      <c r="A35" s="3" t="s">
        <v>81</v>
      </c>
      <c r="B35" s="3" t="s">
        <v>195</v>
      </c>
      <c r="C35" s="6"/>
      <c r="J35" s="5">
        <v>10</v>
      </c>
      <c r="N35" s="33">
        <f t="shared" si="0"/>
        <v>90</v>
      </c>
    </row>
    <row r="36" spans="1:14" x14ac:dyDescent="0.35">
      <c r="A36" s="3" t="s">
        <v>288</v>
      </c>
      <c r="B36" s="3" t="s">
        <v>289</v>
      </c>
      <c r="D36" s="25"/>
      <c r="E36" s="5" t="s">
        <v>185</v>
      </c>
      <c r="N36" s="33">
        <f t="shared" si="0"/>
        <v>100</v>
      </c>
    </row>
    <row r="37" spans="1:14" x14ac:dyDescent="0.35">
      <c r="A37" s="3" t="s">
        <v>343</v>
      </c>
      <c r="B37" s="3" t="s">
        <v>115</v>
      </c>
      <c r="C37" s="23">
        <v>80</v>
      </c>
      <c r="N37" s="33">
        <f>50-SUM(D37:M37)+C37</f>
        <v>130</v>
      </c>
    </row>
    <row r="38" spans="1:14" x14ac:dyDescent="0.35">
      <c r="A38" s="3" t="s">
        <v>157</v>
      </c>
      <c r="B38" s="3" t="s">
        <v>196</v>
      </c>
      <c r="C38" s="6">
        <v>20</v>
      </c>
      <c r="E38" s="5">
        <v>20</v>
      </c>
      <c r="F38" s="5">
        <v>10</v>
      </c>
      <c r="N38" s="33">
        <f t="shared" si="0"/>
        <v>90</v>
      </c>
    </row>
    <row r="39" spans="1:14" x14ac:dyDescent="0.35">
      <c r="A39" s="3" t="s">
        <v>161</v>
      </c>
      <c r="B39" s="3" t="s">
        <v>290</v>
      </c>
      <c r="C39" s="6"/>
      <c r="H39" s="5">
        <v>30</v>
      </c>
      <c r="J39" s="5">
        <v>10</v>
      </c>
      <c r="N39" s="33">
        <f t="shared" si="0"/>
        <v>60</v>
      </c>
    </row>
    <row r="40" spans="1:14" x14ac:dyDescent="0.35">
      <c r="A40" s="3" t="s">
        <v>84</v>
      </c>
      <c r="B40" s="3" t="s">
        <v>198</v>
      </c>
      <c r="C40" s="23">
        <v>200</v>
      </c>
      <c r="I40" s="5">
        <v>50</v>
      </c>
      <c r="J40" s="5">
        <v>150</v>
      </c>
      <c r="N40" s="33">
        <f t="shared" si="0"/>
        <v>100</v>
      </c>
    </row>
    <row r="41" spans="1:14" x14ac:dyDescent="0.35">
      <c r="A41" s="3" t="s">
        <v>84</v>
      </c>
      <c r="B41" s="3" t="s">
        <v>291</v>
      </c>
      <c r="D41" s="25"/>
      <c r="E41" s="5" t="s">
        <v>185</v>
      </c>
      <c r="N41" s="33">
        <f>50-SUM(D41:M41)+C41</f>
        <v>50</v>
      </c>
    </row>
    <row r="42" spans="1:14" x14ac:dyDescent="0.35">
      <c r="A42" s="3" t="s">
        <v>199</v>
      </c>
      <c r="B42" s="3" t="s">
        <v>36</v>
      </c>
      <c r="C42" s="6"/>
      <c r="N42" s="33">
        <f>50-SUM(D42:M42)+C42</f>
        <v>50</v>
      </c>
    </row>
    <row r="43" spans="1:14" x14ac:dyDescent="0.35">
      <c r="A43" s="3" t="s">
        <v>87</v>
      </c>
      <c r="B43" s="3" t="s">
        <v>86</v>
      </c>
      <c r="C43" s="23">
        <v>150</v>
      </c>
      <c r="N43" s="33">
        <f t="shared" si="0"/>
        <v>250</v>
      </c>
    </row>
    <row r="44" spans="1:14" x14ac:dyDescent="0.35">
      <c r="A44" s="3" t="s">
        <v>225</v>
      </c>
      <c r="B44" s="3" t="s">
        <v>224</v>
      </c>
      <c r="C44" s="23">
        <v>60</v>
      </c>
      <c r="E44" s="5">
        <v>30</v>
      </c>
      <c r="J44" s="5">
        <v>20</v>
      </c>
      <c r="N44" s="33">
        <f t="shared" si="0"/>
        <v>110</v>
      </c>
    </row>
    <row r="45" spans="1:14" x14ac:dyDescent="0.35">
      <c r="A45" s="3" t="s">
        <v>200</v>
      </c>
      <c r="B45" s="3" t="s">
        <v>32</v>
      </c>
      <c r="C45" s="6"/>
      <c r="N45" s="33">
        <f t="shared" si="0"/>
        <v>100</v>
      </c>
    </row>
    <row r="46" spans="1:14" x14ac:dyDescent="0.35">
      <c r="A46" s="3" t="s">
        <v>164</v>
      </c>
      <c r="B46" s="3" t="s">
        <v>163</v>
      </c>
      <c r="C46" s="23">
        <v>40</v>
      </c>
      <c r="D46" s="5">
        <v>20</v>
      </c>
      <c r="H46" s="5">
        <v>25</v>
      </c>
      <c r="N46" s="33">
        <f>50-SUM(D46:M46)+C46</f>
        <v>45</v>
      </c>
    </row>
    <row r="47" spans="1:14" x14ac:dyDescent="0.35">
      <c r="A47" s="3" t="s">
        <v>292</v>
      </c>
      <c r="B47" s="3" t="s">
        <v>299</v>
      </c>
      <c r="H47" s="5" t="s">
        <v>185</v>
      </c>
      <c r="N47" s="33">
        <f t="shared" si="0"/>
        <v>100</v>
      </c>
    </row>
    <row r="48" spans="1:14" x14ac:dyDescent="0.35">
      <c r="A48" s="3" t="s">
        <v>292</v>
      </c>
      <c r="B48" s="3" t="s">
        <v>328</v>
      </c>
      <c r="D48" s="25"/>
      <c r="E48" s="5" t="s">
        <v>185</v>
      </c>
      <c r="G48" s="5">
        <v>30</v>
      </c>
      <c r="K48" s="5">
        <v>30</v>
      </c>
      <c r="N48" s="33">
        <f>45-SUM(D48:M48)+C48</f>
        <v>-15</v>
      </c>
    </row>
    <row r="49" spans="1:14" x14ac:dyDescent="0.35">
      <c r="A49" s="3" t="s">
        <v>229</v>
      </c>
      <c r="B49" s="3" t="s">
        <v>228</v>
      </c>
      <c r="C49" s="6"/>
      <c r="D49" s="5">
        <v>5</v>
      </c>
      <c r="E49" s="5">
        <v>5</v>
      </c>
      <c r="F49" s="5">
        <v>5</v>
      </c>
      <c r="G49" s="5">
        <v>5</v>
      </c>
      <c r="H49" s="5">
        <v>5</v>
      </c>
      <c r="I49" s="5">
        <v>5</v>
      </c>
      <c r="J49" s="5">
        <v>5</v>
      </c>
      <c r="K49" s="5">
        <v>5</v>
      </c>
      <c r="L49" s="5">
        <v>5</v>
      </c>
      <c r="M49" s="5">
        <v>5</v>
      </c>
      <c r="N49" s="33">
        <f>50-SUM(D49:M49)+C49</f>
        <v>0</v>
      </c>
    </row>
    <row r="50" spans="1:14" x14ac:dyDescent="0.35">
      <c r="A50" s="3" t="s">
        <v>165</v>
      </c>
      <c r="B50" s="3" t="s">
        <v>115</v>
      </c>
      <c r="C50" s="23">
        <v>0</v>
      </c>
      <c r="K50" s="5">
        <v>30</v>
      </c>
      <c r="M50" s="5">
        <v>20</v>
      </c>
      <c r="N50" s="33">
        <f>50-SUM(D50:M50)+C50</f>
        <v>0</v>
      </c>
    </row>
    <row r="51" spans="1:14" x14ac:dyDescent="0.35">
      <c r="A51" s="3" t="s">
        <v>98</v>
      </c>
      <c r="B51" s="3" t="s">
        <v>319</v>
      </c>
      <c r="C51" s="23">
        <v>100</v>
      </c>
      <c r="N51" s="33">
        <f t="shared" si="0"/>
        <v>200</v>
      </c>
    </row>
    <row r="52" spans="1:14" x14ac:dyDescent="0.35">
      <c r="A52" s="3" t="s">
        <v>329</v>
      </c>
      <c r="B52" s="3" t="s">
        <v>108</v>
      </c>
      <c r="C52" s="25"/>
      <c r="D52" s="25"/>
      <c r="E52" s="25"/>
      <c r="F52" s="25"/>
      <c r="G52" s="25"/>
      <c r="H52" s="25"/>
      <c r="I52" s="25"/>
      <c r="J52" s="25" t="s">
        <v>185</v>
      </c>
      <c r="K52" s="5">
        <v>20</v>
      </c>
      <c r="L52" s="5">
        <v>20</v>
      </c>
      <c r="N52" s="33">
        <f>40-SUM(D52:M52)+C52</f>
        <v>0</v>
      </c>
    </row>
    <row r="53" spans="1:14" x14ac:dyDescent="0.35">
      <c r="A53" s="3" t="s">
        <v>101</v>
      </c>
      <c r="B53" s="3" t="s">
        <v>201</v>
      </c>
      <c r="C53" s="6">
        <v>50</v>
      </c>
      <c r="D53" s="5">
        <v>50</v>
      </c>
      <c r="E53" s="5">
        <v>90</v>
      </c>
      <c r="K53" s="5">
        <v>30</v>
      </c>
      <c r="N53" s="33">
        <f t="shared" si="0"/>
        <v>-20</v>
      </c>
    </row>
    <row r="54" spans="1:14" x14ac:dyDescent="0.35">
      <c r="A54" s="3" t="s">
        <v>106</v>
      </c>
      <c r="B54" s="3" t="s">
        <v>202</v>
      </c>
      <c r="C54" s="23">
        <v>80</v>
      </c>
      <c r="F54" s="5">
        <v>50</v>
      </c>
      <c r="I54" s="5">
        <v>50</v>
      </c>
      <c r="M54" s="5">
        <v>50</v>
      </c>
      <c r="N54" s="33">
        <f t="shared" si="0"/>
        <v>30</v>
      </c>
    </row>
    <row r="55" spans="1:14" x14ac:dyDescent="0.35">
      <c r="A55" s="3" t="s">
        <v>109</v>
      </c>
      <c r="B55" s="3" t="s">
        <v>108</v>
      </c>
      <c r="C55" s="32"/>
      <c r="N55" s="33">
        <f t="shared" si="0"/>
        <v>100</v>
      </c>
    </row>
    <row r="56" spans="1:14" x14ac:dyDescent="0.35">
      <c r="A56" s="3" t="s">
        <v>204</v>
      </c>
      <c r="B56" s="3" t="s">
        <v>203</v>
      </c>
      <c r="C56" s="23">
        <v>20</v>
      </c>
      <c r="I56" s="5">
        <v>120</v>
      </c>
      <c r="N56" s="33">
        <f t="shared" si="0"/>
        <v>0</v>
      </c>
    </row>
    <row r="57" spans="1:14" x14ac:dyDescent="0.35">
      <c r="A57" s="3" t="s">
        <v>232</v>
      </c>
      <c r="B57" s="3" t="s">
        <v>231</v>
      </c>
      <c r="C57" s="6"/>
      <c r="G57" s="5">
        <v>30</v>
      </c>
      <c r="N57" s="33">
        <f t="shared" si="0"/>
        <v>70</v>
      </c>
    </row>
    <row r="58" spans="1:14" x14ac:dyDescent="0.35">
      <c r="A58" s="3" t="s">
        <v>168</v>
      </c>
      <c r="B58" s="3" t="s">
        <v>167</v>
      </c>
      <c r="C58" s="23">
        <v>100</v>
      </c>
      <c r="N58" s="33">
        <f t="shared" si="0"/>
        <v>200</v>
      </c>
    </row>
    <row r="59" spans="1:14" x14ac:dyDescent="0.35">
      <c r="A59" s="3" t="s">
        <v>205</v>
      </c>
      <c r="B59" s="3" t="s">
        <v>234</v>
      </c>
      <c r="C59" s="23">
        <v>100</v>
      </c>
      <c r="H59" s="5">
        <v>20</v>
      </c>
      <c r="N59" s="33">
        <f t="shared" si="0"/>
        <v>180</v>
      </c>
    </row>
    <row r="60" spans="1:14" x14ac:dyDescent="0.35">
      <c r="A60" s="3" t="s">
        <v>13</v>
      </c>
      <c r="B60" s="3" t="s">
        <v>318</v>
      </c>
      <c r="C60" s="23">
        <v>100</v>
      </c>
      <c r="D60" s="5">
        <v>50</v>
      </c>
      <c r="N60" s="33">
        <f t="shared" si="0"/>
        <v>150</v>
      </c>
    </row>
    <row r="61" spans="1:14" x14ac:dyDescent="0.35">
      <c r="A61" s="3" t="s">
        <v>13</v>
      </c>
      <c r="B61" s="3" t="s">
        <v>235</v>
      </c>
      <c r="C61" s="23">
        <v>45</v>
      </c>
      <c r="H61" s="5">
        <v>50</v>
      </c>
      <c r="N61" s="33">
        <f>50-SUM(D61:M61)+C61</f>
        <v>45</v>
      </c>
    </row>
    <row r="62" spans="1:14" x14ac:dyDescent="0.35">
      <c r="A62" s="3" t="s">
        <v>13</v>
      </c>
      <c r="B62" s="3" t="s">
        <v>237</v>
      </c>
      <c r="C62" s="6">
        <v>20</v>
      </c>
      <c r="D62" s="5">
        <v>40</v>
      </c>
      <c r="J62" s="5">
        <v>30</v>
      </c>
      <c r="M62" s="5">
        <v>50</v>
      </c>
      <c r="N62" s="33">
        <f t="shared" si="0"/>
        <v>0</v>
      </c>
    </row>
    <row r="63" spans="1:14" x14ac:dyDescent="0.35">
      <c r="A63" s="3" t="s">
        <v>119</v>
      </c>
      <c r="B63" s="3" t="s">
        <v>118</v>
      </c>
      <c r="C63" s="23">
        <v>45</v>
      </c>
      <c r="E63" s="5">
        <v>20</v>
      </c>
      <c r="G63" s="5">
        <v>30</v>
      </c>
      <c r="H63" s="5">
        <v>15</v>
      </c>
      <c r="I63" s="5">
        <v>40</v>
      </c>
      <c r="N63" s="33">
        <f>50-SUM(D63:M63)+C63</f>
        <v>-10</v>
      </c>
    </row>
    <row r="64" spans="1:14" x14ac:dyDescent="0.35">
      <c r="A64" s="3" t="s">
        <v>121</v>
      </c>
      <c r="B64" s="3" t="s">
        <v>206</v>
      </c>
      <c r="C64" s="23">
        <v>70</v>
      </c>
      <c r="G64" s="5">
        <v>50</v>
      </c>
      <c r="H64" s="5">
        <v>40</v>
      </c>
      <c r="J64" s="5">
        <v>50</v>
      </c>
      <c r="N64" s="33">
        <f t="shared" si="0"/>
        <v>30</v>
      </c>
    </row>
    <row r="65" spans="1:14" x14ac:dyDescent="0.35">
      <c r="A65" s="3" t="s">
        <v>122</v>
      </c>
      <c r="B65" s="3" t="s">
        <v>207</v>
      </c>
      <c r="C65" s="23">
        <v>90</v>
      </c>
      <c r="I65" s="5">
        <v>100</v>
      </c>
      <c r="N65" s="33">
        <f t="shared" si="0"/>
        <v>90</v>
      </c>
    </row>
    <row r="66" spans="1:14" x14ac:dyDescent="0.35">
      <c r="A66" s="3" t="s">
        <v>293</v>
      </c>
      <c r="B66" s="3" t="s">
        <v>294</v>
      </c>
      <c r="D66" s="25"/>
      <c r="E66" s="5" t="s">
        <v>185</v>
      </c>
      <c r="G66" s="5">
        <v>50</v>
      </c>
      <c r="N66" s="33">
        <f>80-SUM(D66:M66)+C66</f>
        <v>30</v>
      </c>
    </row>
    <row r="67" spans="1:14" x14ac:dyDescent="0.35">
      <c r="A67" s="3" t="s">
        <v>129</v>
      </c>
      <c r="B67" s="3" t="s">
        <v>128</v>
      </c>
      <c r="C67" s="6"/>
      <c r="H67" s="5">
        <v>25</v>
      </c>
      <c r="N67" s="33">
        <f>50-SUM(D67:M67)+C67</f>
        <v>25</v>
      </c>
    </row>
    <row r="68" spans="1:14" x14ac:dyDescent="0.35">
      <c r="A68" s="3" t="s">
        <v>131</v>
      </c>
      <c r="B68" s="3" t="s">
        <v>208</v>
      </c>
      <c r="C68" s="23">
        <v>30</v>
      </c>
      <c r="I68" s="5">
        <v>130</v>
      </c>
      <c r="N68" s="33">
        <f t="shared" si="0"/>
        <v>0</v>
      </c>
    </row>
    <row r="69" spans="1:14" x14ac:dyDescent="0.35">
      <c r="A69" s="3"/>
      <c r="B69" s="3"/>
    </row>
    <row r="70" spans="1:14" x14ac:dyDescent="0.35">
      <c r="A70" s="3"/>
      <c r="B70" s="3"/>
    </row>
    <row r="71" spans="1:14" x14ac:dyDescent="0.35">
      <c r="A71" s="3" t="s">
        <v>239</v>
      </c>
      <c r="B71" s="3"/>
      <c r="N71" s="33">
        <f>SUM(N2:N70)</f>
        <v>3745</v>
      </c>
    </row>
    <row r="72" spans="1:14" x14ac:dyDescent="0.35">
      <c r="A72" s="3">
        <v>2025</v>
      </c>
      <c r="B72" s="3"/>
    </row>
    <row r="73" spans="1:14" x14ac:dyDescent="0.35">
      <c r="A73" s="3" t="s">
        <v>336</v>
      </c>
      <c r="B73" s="3" t="s">
        <v>262</v>
      </c>
    </row>
    <row r="74" spans="1:14" x14ac:dyDescent="0.35">
      <c r="A74" s="3" t="s">
        <v>334</v>
      </c>
      <c r="B74" s="3" t="s">
        <v>115</v>
      </c>
    </row>
    <row r="75" spans="1:14" x14ac:dyDescent="0.35">
      <c r="A75" s="3" t="s">
        <v>335</v>
      </c>
      <c r="B75" s="3" t="s">
        <v>337</v>
      </c>
    </row>
    <row r="76" spans="1:14" x14ac:dyDescent="0.35">
      <c r="A76" s="3"/>
      <c r="B76" s="3"/>
    </row>
    <row r="77" spans="1:14" x14ac:dyDescent="0.35">
      <c r="A77" s="3"/>
      <c r="B77" s="3"/>
    </row>
    <row r="78" spans="1:14" x14ac:dyDescent="0.35">
      <c r="A78" s="3"/>
      <c r="B78" s="3"/>
    </row>
    <row r="79" spans="1:14" x14ac:dyDescent="0.35">
      <c r="A79" s="3"/>
      <c r="B79" s="3"/>
    </row>
    <row r="80" spans="1:14" x14ac:dyDescent="0.35">
      <c r="A80" s="3"/>
      <c r="B80" s="3"/>
    </row>
    <row r="81" spans="1:2" x14ac:dyDescent="0.35">
      <c r="A81" s="3"/>
      <c r="B81" s="3"/>
    </row>
    <row r="82" spans="1:2" x14ac:dyDescent="0.35">
      <c r="A82" s="3"/>
      <c r="B82" s="3"/>
    </row>
    <row r="83" spans="1:2" x14ac:dyDescent="0.35">
      <c r="A83" s="3"/>
      <c r="B83" s="3"/>
    </row>
    <row r="84" spans="1:2" x14ac:dyDescent="0.35">
      <c r="A84" s="3"/>
      <c r="B84" s="3"/>
    </row>
    <row r="85" spans="1:2" x14ac:dyDescent="0.35">
      <c r="A85" s="3"/>
      <c r="B85" s="3"/>
    </row>
    <row r="86" spans="1:2" x14ac:dyDescent="0.35">
      <c r="A86" s="3"/>
      <c r="B86" s="3"/>
    </row>
    <row r="87" spans="1:2" x14ac:dyDescent="0.35">
      <c r="A87" s="3"/>
      <c r="B87" s="3"/>
    </row>
    <row r="88" spans="1:2" x14ac:dyDescent="0.35">
      <c r="A88" s="3"/>
      <c r="B88" s="3"/>
    </row>
    <row r="89" spans="1:2" x14ac:dyDescent="0.35">
      <c r="A89" s="3"/>
      <c r="B89" s="3"/>
    </row>
    <row r="90" spans="1:2" x14ac:dyDescent="0.35">
      <c r="A90" s="3"/>
      <c r="B90" s="3"/>
    </row>
    <row r="91" spans="1:2" x14ac:dyDescent="0.35">
      <c r="A91" s="3"/>
      <c r="B91" s="3"/>
    </row>
    <row r="92" spans="1:2" x14ac:dyDescent="0.35">
      <c r="A92" s="3"/>
      <c r="B92" s="3"/>
    </row>
    <row r="93" spans="1:2" x14ac:dyDescent="0.35">
      <c r="A93" s="3"/>
      <c r="B93" s="3"/>
    </row>
    <row r="94" spans="1:2" x14ac:dyDescent="0.35">
      <c r="A94" s="3"/>
      <c r="B94" s="3"/>
    </row>
    <row r="95" spans="1:2" x14ac:dyDescent="0.35">
      <c r="A95" s="3"/>
      <c r="B95" s="3"/>
    </row>
    <row r="96" spans="1:2" x14ac:dyDescent="0.35">
      <c r="A96" s="3"/>
      <c r="B96" s="3"/>
    </row>
    <row r="97" spans="1:2" x14ac:dyDescent="0.35">
      <c r="A97" s="3"/>
      <c r="B97" s="3"/>
    </row>
    <row r="98" spans="1:2" x14ac:dyDescent="0.35">
      <c r="A98" s="3"/>
      <c r="B98" s="3"/>
    </row>
    <row r="99" spans="1:2" x14ac:dyDescent="0.35">
      <c r="A99" s="3"/>
      <c r="B99" s="3"/>
    </row>
    <row r="100" spans="1:2" x14ac:dyDescent="0.35">
      <c r="A100" s="3"/>
      <c r="B100" s="3"/>
    </row>
    <row r="101" spans="1:2" x14ac:dyDescent="0.35">
      <c r="A101" s="3"/>
      <c r="B101" s="3"/>
    </row>
    <row r="102" spans="1:2" x14ac:dyDescent="0.35">
      <c r="A102" s="3"/>
      <c r="B102" s="3"/>
    </row>
    <row r="103" spans="1:2" x14ac:dyDescent="0.35">
      <c r="A103" s="3"/>
      <c r="B103" s="3"/>
    </row>
    <row r="104" spans="1:2" x14ac:dyDescent="0.35">
      <c r="A104" s="3"/>
      <c r="B104" s="3"/>
    </row>
    <row r="105" spans="1:2" x14ac:dyDescent="0.35">
      <c r="A105" s="3"/>
      <c r="B105" s="3"/>
    </row>
    <row r="106" spans="1:2" x14ac:dyDescent="0.35">
      <c r="A106" s="3"/>
      <c r="B106" s="3"/>
    </row>
    <row r="107" spans="1:2" x14ac:dyDescent="0.35">
      <c r="A107" s="3"/>
      <c r="B107" s="3"/>
    </row>
    <row r="108" spans="1:2" x14ac:dyDescent="0.35">
      <c r="A108" s="3"/>
      <c r="B108" s="3"/>
    </row>
    <row r="109" spans="1:2" x14ac:dyDescent="0.35">
      <c r="A109" s="3"/>
      <c r="B109" s="3"/>
    </row>
    <row r="110" spans="1:2" x14ac:dyDescent="0.35">
      <c r="A110" s="3"/>
      <c r="B110" s="3"/>
    </row>
    <row r="111" spans="1:2" x14ac:dyDescent="0.35">
      <c r="A111" s="3"/>
      <c r="B111" s="3"/>
    </row>
    <row r="112" spans="1:2" x14ac:dyDescent="0.35">
      <c r="A112" s="3"/>
      <c r="B112" s="3"/>
    </row>
    <row r="113" spans="1:2" x14ac:dyDescent="0.35">
      <c r="A113" s="3"/>
      <c r="B113" s="3"/>
    </row>
    <row r="114" spans="1:2" x14ac:dyDescent="0.35">
      <c r="A114" s="3"/>
      <c r="B114" s="3"/>
    </row>
    <row r="115" spans="1:2" x14ac:dyDescent="0.35">
      <c r="A115" s="3"/>
      <c r="B115" s="3"/>
    </row>
    <row r="116" spans="1:2" x14ac:dyDescent="0.35">
      <c r="A116" s="3"/>
      <c r="B116" s="3"/>
    </row>
    <row r="117" spans="1:2" x14ac:dyDescent="0.35">
      <c r="A117" s="3"/>
      <c r="B117" s="3"/>
    </row>
    <row r="118" spans="1:2" x14ac:dyDescent="0.35">
      <c r="A118" s="3"/>
      <c r="B118" s="3"/>
    </row>
    <row r="119" spans="1:2" x14ac:dyDescent="0.35">
      <c r="A119" s="3"/>
      <c r="B119" s="3"/>
    </row>
    <row r="120" spans="1:2" x14ac:dyDescent="0.35">
      <c r="A120" s="3"/>
      <c r="B120" s="3"/>
    </row>
    <row r="121" spans="1:2" x14ac:dyDescent="0.35">
      <c r="A121" s="3"/>
      <c r="B121" s="3"/>
    </row>
    <row r="122" spans="1:2" x14ac:dyDescent="0.35">
      <c r="A122" s="3"/>
      <c r="B122" s="3"/>
    </row>
    <row r="123" spans="1:2" x14ac:dyDescent="0.35">
      <c r="A123" s="3"/>
      <c r="B123" s="3"/>
    </row>
    <row r="124" spans="1:2" x14ac:dyDescent="0.35">
      <c r="A124" s="3"/>
      <c r="B124" s="3"/>
    </row>
    <row r="125" spans="1:2" x14ac:dyDescent="0.35">
      <c r="A125" s="3"/>
      <c r="B125" s="3"/>
    </row>
    <row r="126" spans="1:2" x14ac:dyDescent="0.35">
      <c r="A126" s="3"/>
      <c r="B126" s="3"/>
    </row>
    <row r="127" spans="1:2" x14ac:dyDescent="0.35">
      <c r="A127" s="3"/>
      <c r="B127" s="3"/>
    </row>
    <row r="128" spans="1:2" x14ac:dyDescent="0.35">
      <c r="A128" s="3"/>
      <c r="B128" s="3"/>
    </row>
    <row r="129" spans="1:2" x14ac:dyDescent="0.35">
      <c r="A129" s="3"/>
      <c r="B129" s="3"/>
    </row>
    <row r="130" spans="1:2" x14ac:dyDescent="0.35">
      <c r="A130" s="3"/>
      <c r="B130" s="3"/>
    </row>
    <row r="131" spans="1:2" x14ac:dyDescent="0.35">
      <c r="A131" s="3"/>
      <c r="B131" s="3"/>
    </row>
    <row r="132" spans="1:2" x14ac:dyDescent="0.35">
      <c r="A132" s="3"/>
      <c r="B132" s="3"/>
    </row>
    <row r="133" spans="1:2" x14ac:dyDescent="0.35">
      <c r="A133" s="3"/>
      <c r="B133" s="3"/>
    </row>
    <row r="134" spans="1:2" x14ac:dyDescent="0.35">
      <c r="A134" s="3"/>
      <c r="B134" s="3"/>
    </row>
    <row r="135" spans="1:2" x14ac:dyDescent="0.35">
      <c r="A135" s="3"/>
      <c r="B135" s="3"/>
    </row>
    <row r="136" spans="1:2" x14ac:dyDescent="0.35">
      <c r="A136" s="3"/>
      <c r="B136" s="3"/>
    </row>
    <row r="137" spans="1:2" x14ac:dyDescent="0.35">
      <c r="A137" s="3"/>
      <c r="B137" s="3"/>
    </row>
    <row r="138" spans="1:2" x14ac:dyDescent="0.35">
      <c r="A138" s="3"/>
      <c r="B138" s="3"/>
    </row>
    <row r="139" spans="1:2" x14ac:dyDescent="0.35">
      <c r="A139" s="3"/>
      <c r="B139" s="3"/>
    </row>
    <row r="140" spans="1:2" x14ac:dyDescent="0.35">
      <c r="A140" s="3"/>
      <c r="B140" s="3"/>
    </row>
    <row r="141" spans="1:2" x14ac:dyDescent="0.35">
      <c r="A141" s="3"/>
      <c r="B141" s="3"/>
    </row>
    <row r="142" spans="1:2" x14ac:dyDescent="0.35">
      <c r="A142" s="3"/>
      <c r="B142" s="3"/>
    </row>
    <row r="143" spans="1:2" x14ac:dyDescent="0.35">
      <c r="A143" s="3"/>
      <c r="B143" s="3"/>
    </row>
    <row r="144" spans="1:2" x14ac:dyDescent="0.35">
      <c r="A144" s="3"/>
      <c r="B144" s="3"/>
    </row>
    <row r="145" spans="1:2" x14ac:dyDescent="0.35">
      <c r="A145" s="3"/>
      <c r="B145" s="3"/>
    </row>
    <row r="146" spans="1:2" x14ac:dyDescent="0.35">
      <c r="A146" s="3"/>
      <c r="B146" s="3"/>
    </row>
    <row r="147" spans="1:2" x14ac:dyDescent="0.35">
      <c r="A147" s="3"/>
      <c r="B147" s="3"/>
    </row>
    <row r="148" spans="1:2" x14ac:dyDescent="0.35">
      <c r="A148" s="3"/>
      <c r="B148" s="3"/>
    </row>
    <row r="149" spans="1:2" x14ac:dyDescent="0.35">
      <c r="A149" s="3"/>
      <c r="B149" s="3"/>
    </row>
    <row r="150" spans="1:2" x14ac:dyDescent="0.35">
      <c r="A150" s="3"/>
      <c r="B150" s="3"/>
    </row>
    <row r="151" spans="1:2" x14ac:dyDescent="0.35">
      <c r="A151" s="3"/>
      <c r="B151" s="3"/>
    </row>
    <row r="152" spans="1:2" x14ac:dyDescent="0.35">
      <c r="A152" s="3"/>
      <c r="B152" s="3"/>
    </row>
    <row r="153" spans="1:2" x14ac:dyDescent="0.35">
      <c r="A153" s="3"/>
      <c r="B153" s="3"/>
    </row>
    <row r="154" spans="1:2" x14ac:dyDescent="0.35">
      <c r="A154" s="3"/>
      <c r="B154" s="3"/>
    </row>
    <row r="155" spans="1:2" x14ac:dyDescent="0.35">
      <c r="A155" s="3"/>
      <c r="B155" s="3"/>
    </row>
    <row r="156" spans="1:2" x14ac:dyDescent="0.35">
      <c r="A156" s="3"/>
      <c r="B156" s="3"/>
    </row>
    <row r="157" spans="1:2" x14ac:dyDescent="0.35">
      <c r="A157" s="3"/>
      <c r="B157" s="3"/>
    </row>
    <row r="158" spans="1:2" x14ac:dyDescent="0.35">
      <c r="A158" s="3"/>
      <c r="B158" s="3"/>
    </row>
    <row r="159" spans="1:2" x14ac:dyDescent="0.35">
      <c r="A159" s="3"/>
      <c r="B159" s="3"/>
    </row>
    <row r="160" spans="1:2" x14ac:dyDescent="0.35">
      <c r="A160" s="3"/>
      <c r="B160" s="3"/>
    </row>
    <row r="161" spans="1:2" x14ac:dyDescent="0.35">
      <c r="A161" s="3"/>
      <c r="B161" s="3"/>
    </row>
    <row r="162" spans="1:2" x14ac:dyDescent="0.35">
      <c r="A162" s="3"/>
      <c r="B162" s="3"/>
    </row>
    <row r="163" spans="1:2" x14ac:dyDescent="0.35">
      <c r="A163" s="3"/>
      <c r="B163" s="3"/>
    </row>
    <row r="164" spans="1:2" x14ac:dyDescent="0.35">
      <c r="A164" s="3"/>
      <c r="B164" s="3"/>
    </row>
    <row r="165" spans="1:2" x14ac:dyDescent="0.35">
      <c r="A165" s="3"/>
      <c r="B165" s="3"/>
    </row>
    <row r="166" spans="1:2" x14ac:dyDescent="0.35">
      <c r="A166" s="3"/>
      <c r="B166" s="3"/>
    </row>
    <row r="167" spans="1:2" x14ac:dyDescent="0.35">
      <c r="A167" s="3"/>
      <c r="B167" s="3"/>
    </row>
    <row r="168" spans="1:2" x14ac:dyDescent="0.35">
      <c r="A168" s="3"/>
      <c r="B168" s="3"/>
    </row>
    <row r="169" spans="1:2" x14ac:dyDescent="0.35">
      <c r="A169" s="3"/>
      <c r="B169" s="3"/>
    </row>
    <row r="170" spans="1:2" x14ac:dyDescent="0.35">
      <c r="A170" s="3"/>
      <c r="B170" s="3"/>
    </row>
    <row r="171" spans="1:2" x14ac:dyDescent="0.35">
      <c r="A171" s="3"/>
      <c r="B171" s="3"/>
    </row>
    <row r="172" spans="1:2" x14ac:dyDescent="0.35">
      <c r="A172" s="3"/>
      <c r="B172" s="3"/>
    </row>
    <row r="173" spans="1:2" x14ac:dyDescent="0.35">
      <c r="A173" s="3"/>
      <c r="B173" s="3"/>
    </row>
    <row r="174" spans="1:2" x14ac:dyDescent="0.35">
      <c r="A174" s="3"/>
      <c r="B174" s="3"/>
    </row>
    <row r="175" spans="1:2" x14ac:dyDescent="0.35">
      <c r="A175" s="3"/>
      <c r="B175" s="3"/>
    </row>
    <row r="176" spans="1:2" x14ac:dyDescent="0.35">
      <c r="A176" s="3"/>
      <c r="B176" s="3"/>
    </row>
    <row r="177" spans="1:2" x14ac:dyDescent="0.35">
      <c r="A177" s="3"/>
      <c r="B177" s="3"/>
    </row>
    <row r="178" spans="1:2" x14ac:dyDescent="0.35">
      <c r="A178" s="3"/>
      <c r="B178" s="3"/>
    </row>
    <row r="179" spans="1:2" x14ac:dyDescent="0.35">
      <c r="A179" s="3"/>
      <c r="B179" s="3"/>
    </row>
    <row r="180" spans="1:2" x14ac:dyDescent="0.35">
      <c r="A180" s="3"/>
      <c r="B180" s="3"/>
    </row>
    <row r="181" spans="1:2" x14ac:dyDescent="0.35">
      <c r="A181" s="3"/>
      <c r="B181" s="3"/>
    </row>
    <row r="182" spans="1:2" x14ac:dyDescent="0.35">
      <c r="A182" s="3"/>
      <c r="B182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E0E6-69C6-4B12-91F1-2A1D4BD27995}">
  <dimension ref="A1:D203"/>
  <sheetViews>
    <sheetView workbookViewId="0">
      <selection activeCell="G12" sqref="G12"/>
    </sheetView>
  </sheetViews>
  <sheetFormatPr defaultRowHeight="18.5" x14ac:dyDescent="0.45"/>
  <cols>
    <col min="1" max="1" width="24.54296875" customWidth="1"/>
    <col min="2" max="2" width="36.54296875" customWidth="1"/>
    <col min="3" max="3" width="11.54296875" style="37" customWidth="1"/>
  </cols>
  <sheetData>
    <row r="1" spans="1:3" x14ac:dyDescent="0.45">
      <c r="A1" s="1" t="s">
        <v>1</v>
      </c>
      <c r="B1" s="34" t="s">
        <v>0</v>
      </c>
      <c r="C1" s="37" t="s">
        <v>302</v>
      </c>
    </row>
    <row r="2" spans="1:3" x14ac:dyDescent="0.45">
      <c r="A2" s="3" t="s">
        <v>181</v>
      </c>
      <c r="B2" s="35" t="s">
        <v>301</v>
      </c>
    </row>
    <row r="3" spans="1:3" x14ac:dyDescent="0.45">
      <c r="A3" s="3" t="s">
        <v>181</v>
      </c>
      <c r="B3" s="35" t="s">
        <v>241</v>
      </c>
    </row>
    <row r="4" spans="1:3" x14ac:dyDescent="0.45">
      <c r="A4" s="3" t="s">
        <v>278</v>
      </c>
      <c r="B4" s="35" t="s">
        <v>279</v>
      </c>
    </row>
    <row r="5" spans="1:3" x14ac:dyDescent="0.45">
      <c r="A5" s="3" t="s">
        <v>10</v>
      </c>
      <c r="B5" s="35" t="s">
        <v>9</v>
      </c>
    </row>
    <row r="6" spans="1:3" x14ac:dyDescent="0.45">
      <c r="A6" s="40" t="s">
        <v>10</v>
      </c>
      <c r="B6" s="41" t="s">
        <v>146</v>
      </c>
      <c r="C6" s="42"/>
    </row>
    <row r="7" spans="1:3" x14ac:dyDescent="0.45">
      <c r="A7" s="40" t="s">
        <v>10</v>
      </c>
      <c r="B7" s="41" t="s">
        <v>13</v>
      </c>
      <c r="C7" s="39">
        <v>50</v>
      </c>
    </row>
    <row r="8" spans="1:3" x14ac:dyDescent="0.45">
      <c r="A8" s="40" t="s">
        <v>16</v>
      </c>
      <c r="B8" s="41" t="s">
        <v>242</v>
      </c>
      <c r="C8" s="39">
        <v>100</v>
      </c>
    </row>
    <row r="9" spans="1:3" x14ac:dyDescent="0.45">
      <c r="A9" s="40" t="s">
        <v>16</v>
      </c>
      <c r="B9" s="41" t="s">
        <v>18</v>
      </c>
      <c r="C9" s="38"/>
    </row>
    <row r="10" spans="1:3" x14ac:dyDescent="0.45">
      <c r="A10" s="3" t="s">
        <v>179</v>
      </c>
      <c r="B10" s="35" t="s">
        <v>178</v>
      </c>
    </row>
    <row r="11" spans="1:3" x14ac:dyDescent="0.45">
      <c r="A11" s="3" t="s">
        <v>214</v>
      </c>
      <c r="B11" s="35" t="s">
        <v>243</v>
      </c>
    </row>
    <row r="12" spans="1:3" x14ac:dyDescent="0.45">
      <c r="A12" s="3" t="s">
        <v>214</v>
      </c>
      <c r="B12" s="35" t="s">
        <v>147</v>
      </c>
    </row>
    <row r="13" spans="1:3" x14ac:dyDescent="0.45">
      <c r="A13" s="3" t="s">
        <v>214</v>
      </c>
      <c r="B13" s="35" t="s">
        <v>215</v>
      </c>
    </row>
    <row r="14" spans="1:3" x14ac:dyDescent="0.45">
      <c r="A14" s="40" t="s">
        <v>280</v>
      </c>
      <c r="B14" s="41" t="s">
        <v>314</v>
      </c>
      <c r="C14" s="39">
        <v>50</v>
      </c>
    </row>
    <row r="15" spans="1:3" x14ac:dyDescent="0.45">
      <c r="A15" s="3" t="s">
        <v>280</v>
      </c>
      <c r="B15" s="35" t="s">
        <v>115</v>
      </c>
      <c r="C15" s="38">
        <v>20</v>
      </c>
    </row>
    <row r="16" spans="1:3" x14ac:dyDescent="0.45">
      <c r="A16" s="3" t="s">
        <v>217</v>
      </c>
      <c r="B16" s="35" t="s">
        <v>169</v>
      </c>
    </row>
    <row r="17" spans="1:4" x14ac:dyDescent="0.45">
      <c r="A17" s="26" t="s">
        <v>29</v>
      </c>
      <c r="B17" s="36" t="s">
        <v>244</v>
      </c>
    </row>
    <row r="18" spans="1:4" x14ac:dyDescent="0.45">
      <c r="A18" s="43" t="s">
        <v>29</v>
      </c>
      <c r="B18" s="44" t="s">
        <v>245</v>
      </c>
      <c r="C18" s="39">
        <v>50</v>
      </c>
    </row>
    <row r="19" spans="1:4" x14ac:dyDescent="0.45">
      <c r="A19" s="3" t="s">
        <v>184</v>
      </c>
      <c r="B19" s="35" t="s">
        <v>183</v>
      </c>
    </row>
    <row r="20" spans="1:4" x14ac:dyDescent="0.45">
      <c r="A20" s="3" t="s">
        <v>282</v>
      </c>
      <c r="B20" s="35" t="s">
        <v>283</v>
      </c>
    </row>
    <row r="21" spans="1:4" x14ac:dyDescent="0.45">
      <c r="A21" s="3" t="s">
        <v>147</v>
      </c>
      <c r="B21" s="35" t="s">
        <v>148</v>
      </c>
    </row>
    <row r="22" spans="1:4" x14ac:dyDescent="0.45">
      <c r="A22" s="3" t="s">
        <v>147</v>
      </c>
      <c r="B22" s="35" t="s">
        <v>33</v>
      </c>
    </row>
    <row r="23" spans="1:4" x14ac:dyDescent="0.45">
      <c r="A23" s="40" t="s">
        <v>44</v>
      </c>
      <c r="B23" s="41" t="s">
        <v>43</v>
      </c>
      <c r="C23" s="39">
        <v>40</v>
      </c>
    </row>
    <row r="24" spans="1:4" x14ac:dyDescent="0.45">
      <c r="A24" s="3" t="s">
        <v>47</v>
      </c>
      <c r="B24" s="35" t="s">
        <v>143</v>
      </c>
    </row>
    <row r="25" spans="1:4" x14ac:dyDescent="0.45">
      <c r="A25" s="40" t="s">
        <v>49</v>
      </c>
      <c r="B25" s="41" t="s">
        <v>303</v>
      </c>
      <c r="C25" s="39">
        <v>50</v>
      </c>
    </row>
    <row r="26" spans="1:4" x14ac:dyDescent="0.45">
      <c r="A26" s="40" t="s">
        <v>49</v>
      </c>
      <c r="B26" s="41" t="s">
        <v>51</v>
      </c>
      <c r="C26" s="39">
        <v>100</v>
      </c>
    </row>
    <row r="27" spans="1:4" x14ac:dyDescent="0.45">
      <c r="A27" s="40" t="s">
        <v>295</v>
      </c>
      <c r="B27" s="41" t="s">
        <v>115</v>
      </c>
      <c r="C27" s="39">
        <v>20</v>
      </c>
    </row>
    <row r="28" spans="1:4" x14ac:dyDescent="0.45">
      <c r="A28" s="40" t="s">
        <v>284</v>
      </c>
      <c r="B28" s="41" t="s">
        <v>304</v>
      </c>
      <c r="C28" s="39">
        <v>30</v>
      </c>
    </row>
    <row r="29" spans="1:4" x14ac:dyDescent="0.45">
      <c r="A29" s="3" t="s">
        <v>284</v>
      </c>
      <c r="B29" s="35" t="s">
        <v>305</v>
      </c>
    </row>
    <row r="30" spans="1:4" x14ac:dyDescent="0.45">
      <c r="A30" s="45" t="s">
        <v>188</v>
      </c>
      <c r="B30" s="46" t="s">
        <v>306</v>
      </c>
      <c r="C30" s="47">
        <v>200</v>
      </c>
      <c r="D30" t="s">
        <v>320</v>
      </c>
    </row>
    <row r="31" spans="1:4" x14ac:dyDescent="0.45">
      <c r="A31" s="3" t="s">
        <v>188</v>
      </c>
      <c r="B31" s="35" t="s">
        <v>246</v>
      </c>
    </row>
    <row r="32" spans="1:4" x14ac:dyDescent="0.45">
      <c r="A32" s="3" t="s">
        <v>54</v>
      </c>
      <c r="B32" s="35" t="s">
        <v>53</v>
      </c>
      <c r="C32" s="38">
        <v>100</v>
      </c>
    </row>
    <row r="33" spans="1:3" x14ac:dyDescent="0.45">
      <c r="A33" s="40" t="s">
        <v>151</v>
      </c>
      <c r="B33" s="41" t="s">
        <v>317</v>
      </c>
      <c r="C33" s="39">
        <v>200</v>
      </c>
    </row>
    <row r="34" spans="1:3" x14ac:dyDescent="0.45">
      <c r="A34" s="40" t="s">
        <v>151</v>
      </c>
      <c r="B34" s="41" t="s">
        <v>115</v>
      </c>
      <c r="C34" s="42"/>
    </row>
    <row r="35" spans="1:3" x14ac:dyDescent="0.45">
      <c r="A35" s="40" t="s">
        <v>296</v>
      </c>
      <c r="B35" s="41" t="s">
        <v>297</v>
      </c>
      <c r="C35" s="39">
        <v>150</v>
      </c>
    </row>
    <row r="36" spans="1:3" x14ac:dyDescent="0.45">
      <c r="A36" s="40" t="s">
        <v>298</v>
      </c>
      <c r="B36" s="41" t="s">
        <v>262</v>
      </c>
      <c r="C36" s="39">
        <v>100</v>
      </c>
    </row>
    <row r="37" spans="1:3" x14ac:dyDescent="0.45">
      <c r="A37" s="40" t="s">
        <v>298</v>
      </c>
      <c r="B37" s="41" t="s">
        <v>316</v>
      </c>
      <c r="C37" s="38"/>
    </row>
    <row r="38" spans="1:3" x14ac:dyDescent="0.45">
      <c r="A38" s="40" t="s">
        <v>57</v>
      </c>
      <c r="B38" s="41" t="s">
        <v>248</v>
      </c>
      <c r="C38" s="39">
        <v>100</v>
      </c>
    </row>
    <row r="39" spans="1:3" x14ac:dyDescent="0.45">
      <c r="A39" s="40" t="s">
        <v>57</v>
      </c>
      <c r="B39" s="41" t="s">
        <v>59</v>
      </c>
      <c r="C39" s="39">
        <v>400</v>
      </c>
    </row>
    <row r="40" spans="1:3" x14ac:dyDescent="0.45">
      <c r="A40" s="40" t="s">
        <v>62</v>
      </c>
      <c r="B40" s="41" t="s">
        <v>250</v>
      </c>
      <c r="C40" s="39">
        <v>100</v>
      </c>
    </row>
    <row r="41" spans="1:3" x14ac:dyDescent="0.45">
      <c r="A41" s="3" t="s">
        <v>62</v>
      </c>
      <c r="B41" s="35" t="s">
        <v>64</v>
      </c>
      <c r="C41" s="38">
        <v>30</v>
      </c>
    </row>
    <row r="42" spans="1:3" x14ac:dyDescent="0.45">
      <c r="A42" s="3" t="s">
        <v>69</v>
      </c>
      <c r="B42" s="35" t="s">
        <v>70</v>
      </c>
    </row>
    <row r="43" spans="1:3" x14ac:dyDescent="0.45">
      <c r="A43" s="3" t="s">
        <v>69</v>
      </c>
      <c r="B43" s="35" t="s">
        <v>72</v>
      </c>
      <c r="C43" s="39">
        <v>50</v>
      </c>
    </row>
    <row r="44" spans="1:3" x14ac:dyDescent="0.45">
      <c r="A44" s="3" t="s">
        <v>69</v>
      </c>
      <c r="B44" s="35" t="s">
        <v>77</v>
      </c>
    </row>
    <row r="45" spans="1:3" x14ac:dyDescent="0.45">
      <c r="A45" s="3" t="s">
        <v>81</v>
      </c>
      <c r="B45" s="35" t="s">
        <v>252</v>
      </c>
      <c r="C45" s="38">
        <v>50</v>
      </c>
    </row>
    <row r="46" spans="1:3" x14ac:dyDescent="0.45">
      <c r="A46" s="3" t="s">
        <v>81</v>
      </c>
      <c r="B46" s="35" t="s">
        <v>253</v>
      </c>
    </row>
    <row r="47" spans="1:3" x14ac:dyDescent="0.45">
      <c r="A47" s="3" t="s">
        <v>288</v>
      </c>
      <c r="B47" s="35" t="s">
        <v>289</v>
      </c>
    </row>
    <row r="48" spans="1:3" x14ac:dyDescent="0.45">
      <c r="A48" s="3" t="s">
        <v>157</v>
      </c>
      <c r="B48" s="35" t="s">
        <v>254</v>
      </c>
      <c r="C48" s="38">
        <v>50</v>
      </c>
    </row>
    <row r="49" spans="1:3" x14ac:dyDescent="0.45">
      <c r="A49" s="3" t="s">
        <v>157</v>
      </c>
      <c r="B49" s="35" t="s">
        <v>255</v>
      </c>
      <c r="C49" s="38"/>
    </row>
    <row r="50" spans="1:3" x14ac:dyDescent="0.45">
      <c r="A50" s="40" t="s">
        <v>161</v>
      </c>
      <c r="B50" s="41" t="s">
        <v>307</v>
      </c>
      <c r="C50" s="39">
        <v>100</v>
      </c>
    </row>
    <row r="51" spans="1:3" x14ac:dyDescent="0.45">
      <c r="A51" s="40" t="s">
        <v>161</v>
      </c>
      <c r="B51" s="41" t="s">
        <v>256</v>
      </c>
      <c r="C51" s="39">
        <v>50</v>
      </c>
    </row>
    <row r="52" spans="1:3" x14ac:dyDescent="0.45">
      <c r="A52" s="40" t="s">
        <v>84</v>
      </c>
      <c r="B52" s="41" t="s">
        <v>257</v>
      </c>
      <c r="C52" s="39">
        <v>30</v>
      </c>
    </row>
    <row r="53" spans="1:3" x14ac:dyDescent="0.45">
      <c r="A53" s="3" t="s">
        <v>84</v>
      </c>
      <c r="B53" s="35" t="s">
        <v>83</v>
      </c>
      <c r="C53" s="38">
        <v>50</v>
      </c>
    </row>
    <row r="54" spans="1:3" x14ac:dyDescent="0.45">
      <c r="A54" s="3" t="s">
        <v>84</v>
      </c>
      <c r="B54" s="35" t="s">
        <v>291</v>
      </c>
    </row>
    <row r="55" spans="1:3" x14ac:dyDescent="0.45">
      <c r="A55" s="3" t="s">
        <v>199</v>
      </c>
      <c r="B55" s="35" t="s">
        <v>36</v>
      </c>
    </row>
    <row r="56" spans="1:3" x14ac:dyDescent="0.45">
      <c r="A56" s="40" t="s">
        <v>225</v>
      </c>
      <c r="B56" s="41" t="s">
        <v>308</v>
      </c>
      <c r="C56" s="42"/>
    </row>
    <row r="57" spans="1:3" x14ac:dyDescent="0.45">
      <c r="A57" s="40" t="s">
        <v>225</v>
      </c>
      <c r="B57" s="41" t="s">
        <v>260</v>
      </c>
      <c r="C57" s="39">
        <v>50</v>
      </c>
    </row>
    <row r="58" spans="1:3" x14ac:dyDescent="0.45">
      <c r="A58" s="3" t="s">
        <v>200</v>
      </c>
      <c r="B58" s="35" t="s">
        <v>32</v>
      </c>
    </row>
    <row r="59" spans="1:3" x14ac:dyDescent="0.45">
      <c r="A59" s="40" t="s">
        <v>164</v>
      </c>
      <c r="B59" s="41" t="s">
        <v>163</v>
      </c>
      <c r="C59" s="39">
        <v>30</v>
      </c>
    </row>
    <row r="60" spans="1:3" x14ac:dyDescent="0.45">
      <c r="A60" s="40" t="s">
        <v>292</v>
      </c>
      <c r="B60" s="41" t="s">
        <v>299</v>
      </c>
      <c r="C60" s="39">
        <v>50</v>
      </c>
    </row>
    <row r="61" spans="1:3" x14ac:dyDescent="0.45">
      <c r="A61" s="3" t="s">
        <v>292</v>
      </c>
      <c r="B61" s="35" t="s">
        <v>115</v>
      </c>
      <c r="C61" s="38"/>
    </row>
    <row r="62" spans="1:3" x14ac:dyDescent="0.45">
      <c r="A62" s="3" t="s">
        <v>292</v>
      </c>
      <c r="B62" s="35" t="s">
        <v>309</v>
      </c>
    </row>
    <row r="63" spans="1:3" x14ac:dyDescent="0.45">
      <c r="A63" s="40" t="s">
        <v>229</v>
      </c>
      <c r="B63" s="41" t="s">
        <v>228</v>
      </c>
      <c r="C63" s="39">
        <v>50</v>
      </c>
    </row>
    <row r="64" spans="1:3" x14ac:dyDescent="0.45">
      <c r="A64" s="40" t="s">
        <v>165</v>
      </c>
      <c r="B64" s="41" t="s">
        <v>115</v>
      </c>
      <c r="C64" s="39">
        <v>50</v>
      </c>
    </row>
    <row r="65" spans="1:3" x14ac:dyDescent="0.45">
      <c r="A65" s="3" t="s">
        <v>98</v>
      </c>
      <c r="B65" s="35" t="s">
        <v>310</v>
      </c>
      <c r="C65" s="38">
        <v>50</v>
      </c>
    </row>
    <row r="66" spans="1:3" x14ac:dyDescent="0.45">
      <c r="A66" s="3" t="s">
        <v>98</v>
      </c>
      <c r="B66" s="35" t="s">
        <v>97</v>
      </c>
      <c r="C66" s="38">
        <v>100</v>
      </c>
    </row>
    <row r="67" spans="1:3" x14ac:dyDescent="0.45">
      <c r="A67" s="40" t="s">
        <v>101</v>
      </c>
      <c r="B67" s="41" t="s">
        <v>311</v>
      </c>
      <c r="C67" s="39">
        <v>100</v>
      </c>
    </row>
    <row r="68" spans="1:3" x14ac:dyDescent="0.45">
      <c r="A68" s="40" t="s">
        <v>101</v>
      </c>
      <c r="B68" s="41" t="s">
        <v>103</v>
      </c>
      <c r="C68" s="39">
        <v>60</v>
      </c>
    </row>
    <row r="69" spans="1:3" x14ac:dyDescent="0.45">
      <c r="A69" s="40" t="s">
        <v>106</v>
      </c>
      <c r="B69" s="41" t="s">
        <v>105</v>
      </c>
      <c r="C69" s="39">
        <v>100</v>
      </c>
    </row>
    <row r="70" spans="1:3" x14ac:dyDescent="0.45">
      <c r="A70" s="40" t="s">
        <v>106</v>
      </c>
      <c r="B70" s="41" t="s">
        <v>43</v>
      </c>
      <c r="C70" s="39">
        <v>50</v>
      </c>
    </row>
    <row r="71" spans="1:3" x14ac:dyDescent="0.45">
      <c r="A71" s="3" t="s">
        <v>109</v>
      </c>
      <c r="B71" s="35" t="s">
        <v>108</v>
      </c>
    </row>
    <row r="72" spans="1:3" x14ac:dyDescent="0.45">
      <c r="A72" s="40" t="s">
        <v>204</v>
      </c>
      <c r="B72" s="41" t="s">
        <v>203</v>
      </c>
      <c r="C72" s="39">
        <v>50</v>
      </c>
    </row>
    <row r="73" spans="1:3" x14ac:dyDescent="0.45">
      <c r="A73" s="3" t="s">
        <v>232</v>
      </c>
      <c r="B73" s="35" t="s">
        <v>231</v>
      </c>
    </row>
    <row r="74" spans="1:3" x14ac:dyDescent="0.45">
      <c r="A74" s="3" t="s">
        <v>168</v>
      </c>
      <c r="B74" s="35" t="s">
        <v>167</v>
      </c>
    </row>
    <row r="75" spans="1:3" x14ac:dyDescent="0.45">
      <c r="A75" s="40" t="s">
        <v>205</v>
      </c>
      <c r="B75" s="41" t="s">
        <v>312</v>
      </c>
      <c r="C75" s="39">
        <v>30</v>
      </c>
    </row>
    <row r="76" spans="1:3" x14ac:dyDescent="0.45">
      <c r="A76" s="3" t="s">
        <v>205</v>
      </c>
      <c r="B76" s="35" t="s">
        <v>265</v>
      </c>
    </row>
    <row r="77" spans="1:3" x14ac:dyDescent="0.45">
      <c r="A77" s="40" t="s">
        <v>13</v>
      </c>
      <c r="B77" s="41" t="s">
        <v>110</v>
      </c>
      <c r="C77" s="39">
        <v>100</v>
      </c>
    </row>
    <row r="78" spans="1:3" x14ac:dyDescent="0.45">
      <c r="A78" s="40" t="s">
        <v>13</v>
      </c>
      <c r="B78" s="41" t="s">
        <v>169</v>
      </c>
    </row>
    <row r="79" spans="1:3" x14ac:dyDescent="0.45">
      <c r="A79" s="3" t="s">
        <v>13</v>
      </c>
      <c r="B79" s="35" t="s">
        <v>235</v>
      </c>
      <c r="C79" s="38">
        <v>50</v>
      </c>
    </row>
    <row r="80" spans="1:3" x14ac:dyDescent="0.45">
      <c r="A80" s="40" t="s">
        <v>300</v>
      </c>
      <c r="B80" s="41" t="s">
        <v>266</v>
      </c>
      <c r="C80" s="39">
        <v>50</v>
      </c>
    </row>
    <row r="81" spans="1:3" x14ac:dyDescent="0.45">
      <c r="A81" s="40" t="s">
        <v>300</v>
      </c>
      <c r="B81" s="41" t="s">
        <v>267</v>
      </c>
      <c r="C81" s="39">
        <v>50</v>
      </c>
    </row>
    <row r="82" spans="1:3" x14ac:dyDescent="0.45">
      <c r="A82" s="40" t="s">
        <v>119</v>
      </c>
      <c r="B82" s="41" t="s">
        <v>118</v>
      </c>
      <c r="C82" s="39">
        <v>40</v>
      </c>
    </row>
    <row r="83" spans="1:3" x14ac:dyDescent="0.45">
      <c r="A83" s="3" t="s">
        <v>121</v>
      </c>
      <c r="B83" s="35" t="s">
        <v>268</v>
      </c>
      <c r="C83" s="38"/>
    </row>
    <row r="84" spans="1:3" x14ac:dyDescent="0.45">
      <c r="A84" s="3" t="s">
        <v>121</v>
      </c>
      <c r="B84" s="35" t="s">
        <v>269</v>
      </c>
      <c r="C84" s="39">
        <v>100</v>
      </c>
    </row>
    <row r="85" spans="1:3" x14ac:dyDescent="0.45">
      <c r="A85" s="3" t="s">
        <v>122</v>
      </c>
      <c r="B85" s="35" t="s">
        <v>270</v>
      </c>
    </row>
    <row r="86" spans="1:3" x14ac:dyDescent="0.45">
      <c r="A86" s="40" t="s">
        <v>122</v>
      </c>
      <c r="B86" s="41" t="s">
        <v>313</v>
      </c>
      <c r="C86" s="39">
        <v>50</v>
      </c>
    </row>
    <row r="87" spans="1:3" x14ac:dyDescent="0.45">
      <c r="A87" s="40" t="s">
        <v>293</v>
      </c>
      <c r="B87" s="41" t="s">
        <v>294</v>
      </c>
      <c r="C87" s="42">
        <v>70</v>
      </c>
    </row>
    <row r="88" spans="1:3" x14ac:dyDescent="0.45">
      <c r="A88" s="40" t="s">
        <v>129</v>
      </c>
      <c r="B88" s="41" t="s">
        <v>128</v>
      </c>
      <c r="C88" s="39">
        <v>40</v>
      </c>
    </row>
    <row r="89" spans="1:3" x14ac:dyDescent="0.45">
      <c r="A89" s="3" t="s">
        <v>131</v>
      </c>
      <c r="B89" s="35" t="s">
        <v>272</v>
      </c>
    </row>
    <row r="90" spans="1:3" x14ac:dyDescent="0.45">
      <c r="A90" s="3" t="s">
        <v>131</v>
      </c>
      <c r="B90" s="35" t="s">
        <v>133</v>
      </c>
      <c r="C90" s="38">
        <v>100</v>
      </c>
    </row>
    <row r="91" spans="1:3" x14ac:dyDescent="0.45">
      <c r="A91" s="3"/>
      <c r="B91" s="35"/>
    </row>
    <row r="92" spans="1:3" x14ac:dyDescent="0.45">
      <c r="A92" s="3" t="s">
        <v>239</v>
      </c>
      <c r="B92" s="35"/>
      <c r="C92" s="38">
        <f>SUM(C2:C91)</f>
        <v>3690</v>
      </c>
    </row>
    <row r="93" spans="1:3" x14ac:dyDescent="0.45">
      <c r="A93" s="3"/>
      <c r="B93" s="35"/>
    </row>
    <row r="94" spans="1:3" x14ac:dyDescent="0.45">
      <c r="A94" s="3"/>
      <c r="B94" s="35"/>
    </row>
    <row r="95" spans="1:3" x14ac:dyDescent="0.45">
      <c r="A95" s="3"/>
      <c r="B95" s="35"/>
    </row>
    <row r="96" spans="1:3" x14ac:dyDescent="0.45">
      <c r="A96" s="3"/>
      <c r="B96" s="35"/>
    </row>
    <row r="97" spans="1:2" x14ac:dyDescent="0.45">
      <c r="A97" s="3"/>
      <c r="B97" s="35"/>
    </row>
    <row r="98" spans="1:2" x14ac:dyDescent="0.45">
      <c r="A98" s="3"/>
      <c r="B98" s="35"/>
    </row>
    <row r="99" spans="1:2" x14ac:dyDescent="0.45">
      <c r="A99" s="3"/>
      <c r="B99" s="35"/>
    </row>
    <row r="100" spans="1:2" x14ac:dyDescent="0.45">
      <c r="A100" s="3"/>
      <c r="B100" s="35"/>
    </row>
    <row r="101" spans="1:2" x14ac:dyDescent="0.45">
      <c r="A101" s="3"/>
      <c r="B101" s="35"/>
    </row>
    <row r="102" spans="1:2" x14ac:dyDescent="0.45">
      <c r="A102" s="3"/>
      <c r="B102" s="35"/>
    </row>
    <row r="103" spans="1:2" x14ac:dyDescent="0.45">
      <c r="A103" s="3"/>
      <c r="B103" s="35"/>
    </row>
    <row r="104" spans="1:2" x14ac:dyDescent="0.45">
      <c r="A104" s="3"/>
      <c r="B104" s="35"/>
    </row>
    <row r="105" spans="1:2" x14ac:dyDescent="0.45">
      <c r="A105" s="3"/>
      <c r="B105" s="35"/>
    </row>
    <row r="106" spans="1:2" x14ac:dyDescent="0.45">
      <c r="A106" s="3"/>
      <c r="B106" s="35"/>
    </row>
    <row r="107" spans="1:2" x14ac:dyDescent="0.45">
      <c r="A107" s="3"/>
      <c r="B107" s="35"/>
    </row>
    <row r="108" spans="1:2" x14ac:dyDescent="0.45">
      <c r="A108" s="3"/>
      <c r="B108" s="35"/>
    </row>
    <row r="109" spans="1:2" x14ac:dyDescent="0.45">
      <c r="A109" s="3"/>
      <c r="B109" s="35"/>
    </row>
    <row r="110" spans="1:2" x14ac:dyDescent="0.45">
      <c r="A110" s="3"/>
      <c r="B110" s="35"/>
    </row>
    <row r="111" spans="1:2" x14ac:dyDescent="0.45">
      <c r="A111" s="3"/>
      <c r="B111" s="35"/>
    </row>
    <row r="112" spans="1:2" x14ac:dyDescent="0.45">
      <c r="A112" s="3"/>
      <c r="B112" s="35"/>
    </row>
    <row r="113" spans="1:2" x14ac:dyDescent="0.45">
      <c r="A113" s="3"/>
      <c r="B113" s="35"/>
    </row>
    <row r="114" spans="1:2" x14ac:dyDescent="0.45">
      <c r="A114" s="3"/>
      <c r="B114" s="35"/>
    </row>
    <row r="115" spans="1:2" x14ac:dyDescent="0.45">
      <c r="A115" s="3"/>
      <c r="B115" s="35"/>
    </row>
    <row r="116" spans="1:2" x14ac:dyDescent="0.45">
      <c r="A116" s="3"/>
      <c r="B116" s="35"/>
    </row>
    <row r="117" spans="1:2" x14ac:dyDescent="0.45">
      <c r="A117" s="3"/>
      <c r="B117" s="35"/>
    </row>
    <row r="118" spans="1:2" x14ac:dyDescent="0.45">
      <c r="A118" s="3"/>
      <c r="B118" s="35"/>
    </row>
    <row r="119" spans="1:2" x14ac:dyDescent="0.45">
      <c r="A119" s="3"/>
      <c r="B119" s="35"/>
    </row>
    <row r="120" spans="1:2" x14ac:dyDescent="0.45">
      <c r="A120" s="3"/>
      <c r="B120" s="35"/>
    </row>
    <row r="121" spans="1:2" x14ac:dyDescent="0.45">
      <c r="A121" s="3"/>
      <c r="B121" s="35"/>
    </row>
    <row r="122" spans="1:2" x14ac:dyDescent="0.45">
      <c r="A122" s="3"/>
      <c r="B122" s="35"/>
    </row>
    <row r="123" spans="1:2" x14ac:dyDescent="0.45">
      <c r="A123" s="3"/>
      <c r="B123" s="35"/>
    </row>
    <row r="124" spans="1:2" x14ac:dyDescent="0.45">
      <c r="A124" s="3"/>
      <c r="B124" s="35"/>
    </row>
    <row r="125" spans="1:2" x14ac:dyDescent="0.45">
      <c r="A125" s="3"/>
      <c r="B125" s="35"/>
    </row>
    <row r="126" spans="1:2" x14ac:dyDescent="0.45">
      <c r="A126" s="3"/>
      <c r="B126" s="35"/>
    </row>
    <row r="127" spans="1:2" x14ac:dyDescent="0.45">
      <c r="A127" s="3"/>
      <c r="B127" s="35"/>
    </row>
    <row r="128" spans="1:2" x14ac:dyDescent="0.45">
      <c r="A128" s="3"/>
      <c r="B128" s="35"/>
    </row>
    <row r="129" spans="1:2" x14ac:dyDescent="0.45">
      <c r="A129" s="3"/>
      <c r="B129" s="35"/>
    </row>
    <row r="130" spans="1:2" x14ac:dyDescent="0.45">
      <c r="A130" s="3"/>
      <c r="B130" s="35"/>
    </row>
    <row r="131" spans="1:2" x14ac:dyDescent="0.45">
      <c r="A131" s="3"/>
      <c r="B131" s="35"/>
    </row>
    <row r="132" spans="1:2" x14ac:dyDescent="0.45">
      <c r="A132" s="3"/>
      <c r="B132" s="35"/>
    </row>
    <row r="133" spans="1:2" x14ac:dyDescent="0.45">
      <c r="A133" s="3"/>
      <c r="B133" s="35"/>
    </row>
    <row r="134" spans="1:2" x14ac:dyDescent="0.45">
      <c r="A134" s="3"/>
      <c r="B134" s="35"/>
    </row>
    <row r="135" spans="1:2" x14ac:dyDescent="0.45">
      <c r="A135" s="3"/>
      <c r="B135" s="35"/>
    </row>
    <row r="136" spans="1:2" x14ac:dyDescent="0.45">
      <c r="A136" s="3"/>
      <c r="B136" s="35"/>
    </row>
    <row r="137" spans="1:2" x14ac:dyDescent="0.45">
      <c r="A137" s="3"/>
      <c r="B137" s="35"/>
    </row>
    <row r="138" spans="1:2" x14ac:dyDescent="0.45">
      <c r="A138" s="3"/>
      <c r="B138" s="35"/>
    </row>
    <row r="139" spans="1:2" x14ac:dyDescent="0.45">
      <c r="A139" s="3"/>
      <c r="B139" s="35"/>
    </row>
    <row r="140" spans="1:2" x14ac:dyDescent="0.45">
      <c r="A140" s="3"/>
      <c r="B140" s="35"/>
    </row>
    <row r="141" spans="1:2" x14ac:dyDescent="0.45">
      <c r="A141" s="3"/>
      <c r="B141" s="35"/>
    </row>
    <row r="142" spans="1:2" x14ac:dyDescent="0.45">
      <c r="A142" s="3"/>
      <c r="B142" s="35"/>
    </row>
    <row r="143" spans="1:2" x14ac:dyDescent="0.45">
      <c r="A143" s="3"/>
      <c r="B143" s="35"/>
    </row>
    <row r="144" spans="1:2" x14ac:dyDescent="0.45">
      <c r="A144" s="3"/>
      <c r="B144" s="35"/>
    </row>
    <row r="145" spans="1:2" x14ac:dyDescent="0.45">
      <c r="A145" s="3"/>
      <c r="B145" s="35"/>
    </row>
    <row r="146" spans="1:2" x14ac:dyDescent="0.45">
      <c r="A146" s="3"/>
      <c r="B146" s="35"/>
    </row>
    <row r="147" spans="1:2" x14ac:dyDescent="0.45">
      <c r="A147" s="3"/>
      <c r="B147" s="35"/>
    </row>
    <row r="148" spans="1:2" x14ac:dyDescent="0.45">
      <c r="A148" s="3"/>
      <c r="B148" s="35"/>
    </row>
    <row r="149" spans="1:2" x14ac:dyDescent="0.45">
      <c r="A149" s="3"/>
      <c r="B149" s="35"/>
    </row>
    <row r="150" spans="1:2" x14ac:dyDescent="0.45">
      <c r="A150" s="3"/>
      <c r="B150" s="35"/>
    </row>
    <row r="151" spans="1:2" x14ac:dyDescent="0.45">
      <c r="A151" s="3"/>
      <c r="B151" s="35"/>
    </row>
    <row r="152" spans="1:2" x14ac:dyDescent="0.45">
      <c r="A152" s="3"/>
      <c r="B152" s="35"/>
    </row>
    <row r="153" spans="1:2" x14ac:dyDescent="0.45">
      <c r="A153" s="3"/>
      <c r="B153" s="35"/>
    </row>
    <row r="154" spans="1:2" x14ac:dyDescent="0.45">
      <c r="A154" s="3"/>
      <c r="B154" s="35"/>
    </row>
    <row r="155" spans="1:2" x14ac:dyDescent="0.45">
      <c r="A155" s="3"/>
      <c r="B155" s="35"/>
    </row>
    <row r="156" spans="1:2" x14ac:dyDescent="0.45">
      <c r="A156" s="3"/>
      <c r="B156" s="35"/>
    </row>
    <row r="157" spans="1:2" x14ac:dyDescent="0.45">
      <c r="A157" s="3"/>
      <c r="B157" s="35"/>
    </row>
    <row r="158" spans="1:2" x14ac:dyDescent="0.45">
      <c r="A158" s="3"/>
      <c r="B158" s="35"/>
    </row>
    <row r="159" spans="1:2" x14ac:dyDescent="0.45">
      <c r="A159" s="3"/>
      <c r="B159" s="35"/>
    </row>
    <row r="160" spans="1:2" x14ac:dyDescent="0.45">
      <c r="A160" s="3"/>
      <c r="B160" s="35"/>
    </row>
    <row r="161" spans="1:2" x14ac:dyDescent="0.45">
      <c r="A161" s="3"/>
      <c r="B161" s="35"/>
    </row>
    <row r="162" spans="1:2" x14ac:dyDescent="0.45">
      <c r="A162" s="3"/>
      <c r="B162" s="35"/>
    </row>
    <row r="163" spans="1:2" x14ac:dyDescent="0.45">
      <c r="A163" s="3"/>
      <c r="B163" s="35"/>
    </row>
    <row r="164" spans="1:2" x14ac:dyDescent="0.45">
      <c r="A164" s="3"/>
      <c r="B164" s="35"/>
    </row>
    <row r="165" spans="1:2" x14ac:dyDescent="0.45">
      <c r="A165" s="3"/>
      <c r="B165" s="35"/>
    </row>
    <row r="166" spans="1:2" x14ac:dyDescent="0.45">
      <c r="A166" s="3"/>
      <c r="B166" s="35"/>
    </row>
    <row r="167" spans="1:2" x14ac:dyDescent="0.45">
      <c r="A167" s="3"/>
      <c r="B167" s="35"/>
    </row>
    <row r="168" spans="1:2" x14ac:dyDescent="0.45">
      <c r="A168" s="3"/>
      <c r="B168" s="35"/>
    </row>
    <row r="169" spans="1:2" x14ac:dyDescent="0.45">
      <c r="A169" s="3"/>
      <c r="B169" s="35"/>
    </row>
    <row r="170" spans="1:2" x14ac:dyDescent="0.45">
      <c r="A170" s="3"/>
      <c r="B170" s="35"/>
    </row>
    <row r="171" spans="1:2" x14ac:dyDescent="0.45">
      <c r="A171" s="3"/>
      <c r="B171" s="35"/>
    </row>
    <row r="172" spans="1:2" x14ac:dyDescent="0.45">
      <c r="A172" s="3"/>
      <c r="B172" s="35"/>
    </row>
    <row r="173" spans="1:2" x14ac:dyDescent="0.45">
      <c r="A173" s="3"/>
      <c r="B173" s="35"/>
    </row>
    <row r="174" spans="1:2" x14ac:dyDescent="0.45">
      <c r="A174" s="3"/>
      <c r="B174" s="35"/>
    </row>
    <row r="175" spans="1:2" x14ac:dyDescent="0.45">
      <c r="A175" s="3"/>
      <c r="B175" s="35"/>
    </row>
    <row r="176" spans="1:2" x14ac:dyDescent="0.45">
      <c r="A176" s="3"/>
      <c r="B176" s="35"/>
    </row>
    <row r="177" spans="1:2" x14ac:dyDescent="0.45">
      <c r="A177" s="3"/>
      <c r="B177" s="35"/>
    </row>
    <row r="178" spans="1:2" x14ac:dyDescent="0.45">
      <c r="A178" s="3"/>
      <c r="B178" s="35"/>
    </row>
    <row r="179" spans="1:2" x14ac:dyDescent="0.45">
      <c r="A179" s="3"/>
      <c r="B179" s="35"/>
    </row>
    <row r="180" spans="1:2" x14ac:dyDescent="0.45">
      <c r="A180" s="3"/>
      <c r="B180" s="35"/>
    </row>
    <row r="181" spans="1:2" x14ac:dyDescent="0.45">
      <c r="A181" s="3"/>
      <c r="B181" s="35"/>
    </row>
    <row r="182" spans="1:2" x14ac:dyDescent="0.45">
      <c r="A182" s="3"/>
      <c r="B182" s="35"/>
    </row>
    <row r="183" spans="1:2" x14ac:dyDescent="0.45">
      <c r="A183" s="3"/>
      <c r="B183" s="35"/>
    </row>
    <row r="184" spans="1:2" x14ac:dyDescent="0.45">
      <c r="A184" s="3"/>
      <c r="B184" s="35"/>
    </row>
    <row r="185" spans="1:2" x14ac:dyDescent="0.45">
      <c r="A185" s="3"/>
      <c r="B185" s="35"/>
    </row>
    <row r="186" spans="1:2" x14ac:dyDescent="0.45">
      <c r="A186" s="3"/>
      <c r="B186" s="35"/>
    </row>
    <row r="187" spans="1:2" x14ac:dyDescent="0.45">
      <c r="A187" s="3"/>
      <c r="B187" s="35"/>
    </row>
    <row r="188" spans="1:2" x14ac:dyDescent="0.45">
      <c r="A188" s="3"/>
      <c r="B188" s="35"/>
    </row>
    <row r="189" spans="1:2" x14ac:dyDescent="0.45">
      <c r="A189" s="3"/>
      <c r="B189" s="35"/>
    </row>
    <row r="190" spans="1:2" x14ac:dyDescent="0.45">
      <c r="A190" s="3"/>
      <c r="B190" s="35"/>
    </row>
    <row r="191" spans="1:2" x14ac:dyDescent="0.45">
      <c r="A191" s="3"/>
      <c r="B191" s="35"/>
    </row>
    <row r="192" spans="1:2" x14ac:dyDescent="0.45">
      <c r="A192" s="3"/>
      <c r="B192" s="35"/>
    </row>
    <row r="193" spans="1:2" x14ac:dyDescent="0.45">
      <c r="A193" s="3"/>
      <c r="B193" s="35"/>
    </row>
    <row r="194" spans="1:2" x14ac:dyDescent="0.45">
      <c r="A194" s="3"/>
      <c r="B194" s="35"/>
    </row>
    <row r="195" spans="1:2" x14ac:dyDescent="0.45">
      <c r="A195" s="3"/>
      <c r="B195" s="35"/>
    </row>
    <row r="196" spans="1:2" x14ac:dyDescent="0.45">
      <c r="A196" s="3"/>
      <c r="B196" s="35"/>
    </row>
    <row r="197" spans="1:2" x14ac:dyDescent="0.45">
      <c r="A197" s="3"/>
      <c r="B197" s="35"/>
    </row>
    <row r="198" spans="1:2" x14ac:dyDescent="0.45">
      <c r="A198" s="3"/>
      <c r="B198" s="35"/>
    </row>
    <row r="199" spans="1:2" x14ac:dyDescent="0.45">
      <c r="A199" s="3"/>
      <c r="B199" s="35"/>
    </row>
    <row r="200" spans="1:2" x14ac:dyDescent="0.45">
      <c r="A200" s="3"/>
      <c r="B200" s="35"/>
    </row>
    <row r="201" spans="1:2" x14ac:dyDescent="0.45">
      <c r="A201" s="3"/>
      <c r="B201" s="35"/>
    </row>
    <row r="202" spans="1:2" x14ac:dyDescent="0.45">
      <c r="A202" s="3"/>
      <c r="B202" s="35"/>
    </row>
    <row r="203" spans="1:2" x14ac:dyDescent="0.45">
      <c r="A203" s="3"/>
      <c r="B203" s="3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090B-C1C8-4D93-971B-E103CECECE8C}">
  <dimension ref="A1:P79"/>
  <sheetViews>
    <sheetView zoomScale="70" zoomScaleNormal="70" workbookViewId="0">
      <pane ySplit="1" topLeftCell="A43" activePane="bottomLeft" state="frozen"/>
      <selection pane="bottomLeft" activeCell="O53" sqref="O53"/>
    </sheetView>
  </sheetViews>
  <sheetFormatPr defaultRowHeight="14.5" x14ac:dyDescent="0.35"/>
  <cols>
    <col min="1" max="1" width="18" customWidth="1"/>
    <col min="2" max="2" width="28.81640625" customWidth="1"/>
    <col min="3" max="3" width="23.1796875" style="11" customWidth="1"/>
    <col min="4" max="4" width="12.7265625" customWidth="1"/>
    <col min="10" max="10" width="12.7265625" customWidth="1"/>
    <col min="11" max="11" width="15.81640625" customWidth="1"/>
    <col min="12" max="12" width="13.1796875" customWidth="1"/>
    <col min="13" max="13" width="16.26953125" customWidth="1"/>
    <col min="14" max="14" width="18.1796875" customWidth="1"/>
    <col min="15" max="15" width="23" customWidth="1"/>
  </cols>
  <sheetData>
    <row r="1" spans="1:15" ht="17.5" x14ac:dyDescent="0.35">
      <c r="A1" s="1" t="s">
        <v>1</v>
      </c>
      <c r="B1" s="1" t="s">
        <v>0</v>
      </c>
      <c r="C1" s="5" t="s">
        <v>276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339</v>
      </c>
      <c r="O1" s="28" t="s">
        <v>340</v>
      </c>
    </row>
    <row r="2" spans="1:15" ht="17.5" x14ac:dyDescent="0.35">
      <c r="A2" s="3" t="s">
        <v>181</v>
      </c>
      <c r="B2" s="3" t="s">
        <v>277</v>
      </c>
      <c r="C2" s="23">
        <v>60</v>
      </c>
      <c r="D2" s="33"/>
      <c r="E2" s="33">
        <v>60</v>
      </c>
      <c r="F2" s="33"/>
      <c r="G2" s="33"/>
      <c r="H2" s="33"/>
      <c r="I2" s="33"/>
      <c r="J2" s="33"/>
      <c r="K2" s="33">
        <v>80</v>
      </c>
      <c r="L2" s="33"/>
      <c r="M2" s="33"/>
      <c r="N2" s="33"/>
      <c r="O2" s="33">
        <f>110 - SUM(D2:N2) + C2</f>
        <v>30</v>
      </c>
    </row>
    <row r="3" spans="1:15" ht="17.5" x14ac:dyDescent="0.35">
      <c r="A3" s="3" t="s">
        <v>278</v>
      </c>
      <c r="B3" s="3" t="s">
        <v>279</v>
      </c>
      <c r="C3" s="23">
        <v>100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>
        <f t="shared" ref="O3:O73" si="0">110 - SUM(D3:N3) + C3</f>
        <v>210</v>
      </c>
    </row>
    <row r="4" spans="1:15" ht="17.5" x14ac:dyDescent="0.35">
      <c r="A4" s="3" t="s">
        <v>10</v>
      </c>
      <c r="B4" s="3" t="s">
        <v>9</v>
      </c>
      <c r="C4" s="23">
        <v>100</v>
      </c>
      <c r="D4" s="33"/>
      <c r="E4" s="33"/>
      <c r="F4" s="33"/>
      <c r="G4" s="33"/>
      <c r="H4" s="33"/>
      <c r="I4" s="33"/>
      <c r="J4" s="33">
        <v>50</v>
      </c>
      <c r="K4" s="33"/>
      <c r="L4" s="33"/>
      <c r="M4" s="33"/>
      <c r="N4" s="33"/>
      <c r="O4" s="33">
        <f>55 - SUM(D4:N4) + C4</f>
        <v>105</v>
      </c>
    </row>
    <row r="5" spans="1:15" ht="17.5" x14ac:dyDescent="0.35">
      <c r="A5" s="3" t="s">
        <v>10</v>
      </c>
      <c r="B5" s="3" t="s">
        <v>175</v>
      </c>
      <c r="C5" s="23">
        <v>100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>
        <f t="shared" si="0"/>
        <v>210</v>
      </c>
    </row>
    <row r="6" spans="1:15" ht="17.5" x14ac:dyDescent="0.35">
      <c r="A6" s="3" t="s">
        <v>16</v>
      </c>
      <c r="B6" s="3" t="s">
        <v>176</v>
      </c>
      <c r="C6" s="6">
        <v>0</v>
      </c>
      <c r="D6" s="33"/>
      <c r="E6" s="33"/>
      <c r="F6" s="33"/>
      <c r="G6" s="33"/>
      <c r="H6" s="33"/>
      <c r="I6" s="33"/>
      <c r="J6" s="33"/>
      <c r="K6" s="33"/>
      <c r="L6" s="33"/>
      <c r="M6" s="33">
        <v>110</v>
      </c>
      <c r="N6" s="33"/>
      <c r="O6" s="33">
        <f t="shared" si="0"/>
        <v>0</v>
      </c>
    </row>
    <row r="7" spans="1:15" ht="17.5" x14ac:dyDescent="0.35">
      <c r="A7" s="3" t="s">
        <v>179</v>
      </c>
      <c r="B7" s="3" t="s">
        <v>332</v>
      </c>
      <c r="C7" s="6">
        <v>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>
        <f t="shared" si="0"/>
        <v>110</v>
      </c>
    </row>
    <row r="8" spans="1:15" ht="17.5" x14ac:dyDescent="0.35">
      <c r="A8" s="3" t="s">
        <v>214</v>
      </c>
      <c r="B8" s="3" t="s">
        <v>193</v>
      </c>
      <c r="C8" s="6">
        <v>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>
        <f t="shared" si="0"/>
        <v>110</v>
      </c>
    </row>
    <row r="9" spans="1:15" ht="17.5" x14ac:dyDescent="0.35">
      <c r="A9" s="3" t="s">
        <v>214</v>
      </c>
      <c r="B9" s="3" t="s">
        <v>215</v>
      </c>
      <c r="C9" s="6">
        <v>0</v>
      </c>
      <c r="D9" s="33"/>
      <c r="E9" s="33"/>
      <c r="F9" s="33">
        <v>110</v>
      </c>
      <c r="G9" s="33"/>
      <c r="H9" s="33"/>
      <c r="I9" s="33"/>
      <c r="J9" s="33"/>
      <c r="K9" s="33"/>
      <c r="L9" s="33"/>
      <c r="M9" s="33"/>
      <c r="N9" s="33"/>
      <c r="O9" s="33">
        <f t="shared" si="0"/>
        <v>0</v>
      </c>
    </row>
    <row r="10" spans="1:15" ht="17.5" x14ac:dyDescent="0.35">
      <c r="A10" s="3" t="s">
        <v>280</v>
      </c>
      <c r="B10" s="3" t="s">
        <v>281</v>
      </c>
      <c r="C10" s="23">
        <v>50</v>
      </c>
      <c r="D10" s="33"/>
      <c r="E10" s="33"/>
      <c r="F10" s="33"/>
      <c r="G10" s="33"/>
      <c r="H10" s="33">
        <v>50</v>
      </c>
      <c r="I10" s="33"/>
      <c r="J10" s="33"/>
      <c r="K10" s="33"/>
      <c r="L10" s="33"/>
      <c r="M10" s="33">
        <v>50</v>
      </c>
      <c r="N10" s="33"/>
      <c r="O10" s="33">
        <f t="shared" si="0"/>
        <v>60</v>
      </c>
    </row>
    <row r="11" spans="1:15" ht="17.5" x14ac:dyDescent="0.35">
      <c r="A11" s="3" t="s">
        <v>217</v>
      </c>
      <c r="B11" s="3" t="s">
        <v>169</v>
      </c>
      <c r="C11" s="23">
        <v>120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>
        <f>55 - SUM(D11:N11) + C11</f>
        <v>175</v>
      </c>
    </row>
    <row r="12" spans="1:15" ht="17.5" x14ac:dyDescent="0.35">
      <c r="A12" s="26" t="s">
        <v>29</v>
      </c>
      <c r="B12" s="26" t="s">
        <v>218</v>
      </c>
      <c r="C12" s="6">
        <v>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>
        <f t="shared" si="0"/>
        <v>110</v>
      </c>
    </row>
    <row r="13" spans="1:15" ht="17.5" x14ac:dyDescent="0.35">
      <c r="A13" s="3" t="s">
        <v>184</v>
      </c>
      <c r="B13" s="3" t="s">
        <v>183</v>
      </c>
      <c r="C13" s="23">
        <v>130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>
        <f>55 - SUM(D13:N13) + C13</f>
        <v>185</v>
      </c>
    </row>
    <row r="14" spans="1:15" ht="17.5" x14ac:dyDescent="0.35">
      <c r="A14" s="3" t="s">
        <v>282</v>
      </c>
      <c r="B14" s="3" t="s">
        <v>283</v>
      </c>
      <c r="C14" s="23">
        <v>80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>
        <f t="shared" si="0"/>
        <v>190</v>
      </c>
    </row>
    <row r="15" spans="1:15" ht="17.5" x14ac:dyDescent="0.35">
      <c r="A15" s="3" t="s">
        <v>326</v>
      </c>
      <c r="B15" s="3" t="s">
        <v>327</v>
      </c>
      <c r="C15" s="6">
        <v>0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>
        <f t="shared" si="0"/>
        <v>110</v>
      </c>
    </row>
    <row r="16" spans="1:15" ht="17.5" x14ac:dyDescent="0.35">
      <c r="A16" s="3" t="s">
        <v>352</v>
      </c>
      <c r="B16" s="3" t="s">
        <v>305</v>
      </c>
      <c r="C16" s="25"/>
      <c r="D16" s="55"/>
      <c r="E16" s="55"/>
      <c r="F16" s="55"/>
      <c r="G16" s="55"/>
      <c r="H16" s="55"/>
      <c r="I16" s="55"/>
      <c r="J16" s="33" t="s">
        <v>323</v>
      </c>
      <c r="K16" s="33">
        <v>10</v>
      </c>
      <c r="L16" s="33"/>
      <c r="M16" s="33"/>
      <c r="N16" s="33"/>
      <c r="O16" s="33">
        <v>30</v>
      </c>
    </row>
    <row r="17" spans="1:16" ht="17.5" x14ac:dyDescent="0.35">
      <c r="A17" s="3" t="s">
        <v>147</v>
      </c>
      <c r="B17" s="3" t="s">
        <v>219</v>
      </c>
      <c r="C17" s="6">
        <v>-50</v>
      </c>
      <c r="D17" s="33">
        <v>15</v>
      </c>
      <c r="E17" s="33">
        <v>15</v>
      </c>
      <c r="F17" s="33">
        <v>15</v>
      </c>
      <c r="G17" s="33">
        <v>15</v>
      </c>
      <c r="H17" s="33">
        <v>15</v>
      </c>
      <c r="I17" s="33">
        <v>15</v>
      </c>
      <c r="J17" s="33">
        <v>10</v>
      </c>
      <c r="K17" s="33">
        <v>10</v>
      </c>
      <c r="L17" s="33">
        <v>10</v>
      </c>
      <c r="M17" s="33">
        <v>10</v>
      </c>
      <c r="N17" s="33">
        <v>10</v>
      </c>
      <c r="O17" s="33">
        <f t="shared" si="0"/>
        <v>-80</v>
      </c>
    </row>
    <row r="18" spans="1:16" ht="17.5" x14ac:dyDescent="0.35">
      <c r="A18" s="56" t="s">
        <v>147</v>
      </c>
      <c r="B18" s="56" t="s">
        <v>178</v>
      </c>
      <c r="C18" s="23">
        <v>40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>
        <f>55 - SUM(D18:N18) + C18</f>
        <v>95</v>
      </c>
    </row>
    <row r="19" spans="1:16" ht="17.5" x14ac:dyDescent="0.35">
      <c r="A19" s="3" t="s">
        <v>348</v>
      </c>
      <c r="B19" s="3" t="s">
        <v>349</v>
      </c>
      <c r="C19" s="23"/>
      <c r="D19" s="33"/>
      <c r="E19" s="33"/>
      <c r="F19" s="33"/>
      <c r="G19" s="33"/>
      <c r="H19" s="33"/>
      <c r="I19" s="33"/>
      <c r="J19" s="33" t="s">
        <v>350</v>
      </c>
      <c r="K19" s="33">
        <v>5</v>
      </c>
      <c r="L19" s="33">
        <v>5</v>
      </c>
      <c r="M19" s="33">
        <v>5</v>
      </c>
      <c r="N19" s="33">
        <v>5</v>
      </c>
      <c r="O19" s="33">
        <v>0</v>
      </c>
    </row>
    <row r="20" spans="1:16" ht="17.5" x14ac:dyDescent="0.35">
      <c r="A20" s="3" t="s">
        <v>324</v>
      </c>
      <c r="B20" s="3" t="s">
        <v>325</v>
      </c>
      <c r="C20" s="6">
        <v>0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>
        <f>55 - SUM(D20:N20) + C20</f>
        <v>55</v>
      </c>
    </row>
    <row r="21" spans="1:16" s="16" customFormat="1" ht="17.5" x14ac:dyDescent="0.35">
      <c r="A21" s="3" t="s">
        <v>360</v>
      </c>
      <c r="B21" s="3" t="s">
        <v>361</v>
      </c>
      <c r="C21" s="4" t="s">
        <v>382</v>
      </c>
      <c r="D21" s="4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 ht="17.5" x14ac:dyDescent="0.35">
      <c r="A22" s="3" t="s">
        <v>44</v>
      </c>
      <c r="B22" s="3" t="s">
        <v>43</v>
      </c>
      <c r="C22" s="6">
        <v>0</v>
      </c>
      <c r="D22" s="33"/>
      <c r="E22" s="33"/>
      <c r="F22" s="33"/>
      <c r="G22" s="33"/>
      <c r="H22" s="33"/>
      <c r="I22" s="33"/>
      <c r="J22" s="33"/>
      <c r="K22" s="33">
        <v>60</v>
      </c>
      <c r="L22" s="33"/>
      <c r="M22" s="33"/>
      <c r="N22" s="33"/>
      <c r="O22" s="33">
        <f>55 - SUM(D22:N22) + C22</f>
        <v>-5</v>
      </c>
    </row>
    <row r="23" spans="1:16" ht="17.5" x14ac:dyDescent="0.35">
      <c r="A23" s="3" t="s">
        <v>47</v>
      </c>
      <c r="B23" s="3" t="s">
        <v>143</v>
      </c>
      <c r="C23" s="23">
        <v>40</v>
      </c>
      <c r="D23" s="33"/>
      <c r="E23" s="33"/>
      <c r="F23" s="33">
        <v>155</v>
      </c>
      <c r="G23" s="33"/>
      <c r="H23" s="33"/>
      <c r="I23" s="33"/>
      <c r="J23" s="33"/>
      <c r="K23" s="33"/>
      <c r="L23" s="33"/>
      <c r="M23" s="33"/>
      <c r="N23" s="33"/>
      <c r="O23" s="33">
        <f>55 - SUM(D23:N23) + C23</f>
        <v>-60</v>
      </c>
    </row>
    <row r="24" spans="1:16" ht="17.5" x14ac:dyDescent="0.35">
      <c r="A24" s="3" t="s">
        <v>49</v>
      </c>
      <c r="B24" s="3" t="s">
        <v>186</v>
      </c>
      <c r="C24" s="6">
        <v>0</v>
      </c>
      <c r="D24" s="33"/>
      <c r="E24" s="33">
        <v>120</v>
      </c>
      <c r="F24" s="33"/>
      <c r="G24" s="33"/>
      <c r="H24" s="33"/>
      <c r="I24" s="33"/>
      <c r="J24" s="33"/>
      <c r="K24" s="33"/>
      <c r="L24" s="33"/>
      <c r="M24" s="33"/>
      <c r="N24" s="33"/>
      <c r="O24" s="33">
        <f t="shared" si="0"/>
        <v>-10</v>
      </c>
    </row>
    <row r="25" spans="1:16" ht="17.5" x14ac:dyDescent="0.35">
      <c r="A25" s="3" t="s">
        <v>295</v>
      </c>
      <c r="B25" s="3" t="s">
        <v>115</v>
      </c>
      <c r="C25" s="2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>
        <f>55 - SUM(D25:N25) + C25</f>
        <v>55</v>
      </c>
    </row>
    <row r="26" spans="1:16" ht="17.5" x14ac:dyDescent="0.35">
      <c r="A26" s="3" t="s">
        <v>284</v>
      </c>
      <c r="B26" s="3" t="s">
        <v>285</v>
      </c>
      <c r="C26" s="23">
        <v>100</v>
      </c>
      <c r="D26" s="33"/>
      <c r="E26" s="33"/>
      <c r="F26" s="33"/>
      <c r="G26" s="33"/>
      <c r="H26" s="33"/>
      <c r="I26" s="33"/>
      <c r="J26" s="33">
        <v>50</v>
      </c>
      <c r="K26" s="33"/>
      <c r="L26" s="33">
        <v>160</v>
      </c>
      <c r="M26" s="33"/>
      <c r="N26" s="33"/>
      <c r="O26" s="33">
        <f t="shared" si="0"/>
        <v>0</v>
      </c>
    </row>
    <row r="27" spans="1:16" ht="17.5" x14ac:dyDescent="0.35">
      <c r="A27" s="3" t="s">
        <v>188</v>
      </c>
      <c r="B27" s="3" t="s">
        <v>286</v>
      </c>
      <c r="C27" s="6">
        <v>0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>
        <f t="shared" si="0"/>
        <v>110</v>
      </c>
    </row>
    <row r="28" spans="1:16" ht="17.5" x14ac:dyDescent="0.35">
      <c r="A28" s="3" t="s">
        <v>54</v>
      </c>
      <c r="B28" s="3" t="s">
        <v>53</v>
      </c>
      <c r="C28" s="23">
        <v>100</v>
      </c>
      <c r="D28" s="33"/>
      <c r="E28" s="33"/>
      <c r="F28" s="33"/>
      <c r="G28" s="33"/>
      <c r="H28" s="33"/>
      <c r="I28" s="33"/>
      <c r="J28" s="33"/>
      <c r="K28" s="33">
        <v>87</v>
      </c>
      <c r="L28" s="33"/>
      <c r="M28" s="33"/>
      <c r="N28" s="33"/>
      <c r="O28" s="33">
        <f t="shared" si="0"/>
        <v>123</v>
      </c>
    </row>
    <row r="29" spans="1:16" ht="17.5" x14ac:dyDescent="0.35">
      <c r="A29" s="3" t="s">
        <v>151</v>
      </c>
      <c r="B29" s="3" t="s">
        <v>287</v>
      </c>
      <c r="C29" s="23">
        <v>100</v>
      </c>
      <c r="D29" s="33"/>
      <c r="E29" s="33"/>
      <c r="F29" s="33"/>
      <c r="G29" s="33"/>
      <c r="H29" s="33"/>
      <c r="I29" s="33"/>
      <c r="J29" s="33"/>
      <c r="K29" s="33"/>
      <c r="L29" s="33">
        <v>210</v>
      </c>
      <c r="M29" s="33"/>
      <c r="N29" s="33"/>
      <c r="O29" s="33">
        <f t="shared" si="0"/>
        <v>0</v>
      </c>
    </row>
    <row r="30" spans="1:16" ht="17.5" x14ac:dyDescent="0.35">
      <c r="A30" s="3" t="s">
        <v>296</v>
      </c>
      <c r="B30" s="3" t="s">
        <v>297</v>
      </c>
      <c r="C30" s="6">
        <v>-20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>
        <f t="shared" si="0"/>
        <v>90</v>
      </c>
    </row>
    <row r="31" spans="1:16" ht="17.5" x14ac:dyDescent="0.35">
      <c r="A31" s="3" t="s">
        <v>298</v>
      </c>
      <c r="B31" s="3" t="s">
        <v>315</v>
      </c>
      <c r="C31" s="23">
        <v>50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>
        <f t="shared" si="0"/>
        <v>160</v>
      </c>
    </row>
    <row r="32" spans="1:16" ht="17.5" x14ac:dyDescent="0.35">
      <c r="A32" s="3" t="s">
        <v>57</v>
      </c>
      <c r="B32" s="3" t="s">
        <v>191</v>
      </c>
      <c r="C32" s="6">
        <v>-30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>
        <f t="shared" si="0"/>
        <v>80</v>
      </c>
    </row>
    <row r="33" spans="1:15" ht="17.5" x14ac:dyDescent="0.35">
      <c r="A33" s="3" t="s">
        <v>321</v>
      </c>
      <c r="B33" s="3" t="s">
        <v>322</v>
      </c>
      <c r="C33" s="6">
        <v>0</v>
      </c>
      <c r="D33" s="33"/>
      <c r="E33" s="33"/>
      <c r="F33" s="33"/>
      <c r="G33" s="33"/>
      <c r="H33" s="33">
        <v>110</v>
      </c>
      <c r="I33" s="33"/>
      <c r="J33" s="33"/>
      <c r="K33" s="33"/>
      <c r="L33" s="33"/>
      <c r="M33" s="33"/>
      <c r="N33" s="33"/>
      <c r="O33" s="33">
        <f t="shared" si="0"/>
        <v>0</v>
      </c>
    </row>
    <row r="34" spans="1:15" ht="17.5" x14ac:dyDescent="0.35">
      <c r="A34" s="3" t="s">
        <v>62</v>
      </c>
      <c r="B34" s="3" t="s">
        <v>192</v>
      </c>
      <c r="C34" s="23">
        <v>100</v>
      </c>
      <c r="D34" s="33">
        <v>110</v>
      </c>
      <c r="E34" s="33"/>
      <c r="F34" s="33"/>
      <c r="G34" s="33"/>
      <c r="H34" s="33">
        <v>40</v>
      </c>
      <c r="I34" s="33"/>
      <c r="J34" s="33"/>
      <c r="K34" s="33"/>
      <c r="L34" s="33"/>
      <c r="M34" s="33"/>
      <c r="N34" s="33"/>
      <c r="O34" s="33">
        <f t="shared" si="0"/>
        <v>60</v>
      </c>
    </row>
    <row r="35" spans="1:15" ht="17.5" x14ac:dyDescent="0.35">
      <c r="A35" s="3" t="s">
        <v>69</v>
      </c>
      <c r="B35" s="3" t="s">
        <v>305</v>
      </c>
      <c r="C35" s="25"/>
      <c r="D35" s="55"/>
      <c r="E35" s="55"/>
      <c r="F35" s="55"/>
      <c r="G35" s="55"/>
      <c r="H35" s="55"/>
      <c r="I35" s="55"/>
      <c r="J35" s="33" t="s">
        <v>185</v>
      </c>
      <c r="K35" s="33"/>
      <c r="L35" s="33"/>
      <c r="M35" s="33">
        <v>25</v>
      </c>
      <c r="N35" s="33"/>
      <c r="O35" s="33">
        <f>25 - SUM(D35:N35) + C35</f>
        <v>0</v>
      </c>
    </row>
    <row r="36" spans="1:15" ht="17.5" x14ac:dyDescent="0.35">
      <c r="A36" s="3" t="s">
        <v>69</v>
      </c>
      <c r="B36" s="3" t="s">
        <v>70</v>
      </c>
      <c r="C36" s="23">
        <v>60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>
        <f t="shared" si="0"/>
        <v>170</v>
      </c>
    </row>
    <row r="37" spans="1:15" ht="17.5" x14ac:dyDescent="0.35">
      <c r="A37" s="3" t="s">
        <v>69</v>
      </c>
      <c r="B37" s="3" t="s">
        <v>246</v>
      </c>
      <c r="C37" s="25"/>
      <c r="D37" s="55"/>
      <c r="E37" s="55"/>
      <c r="F37" s="55"/>
      <c r="G37" s="55"/>
      <c r="H37" s="55"/>
      <c r="I37" s="55"/>
      <c r="J37" s="55"/>
      <c r="K37" s="55"/>
      <c r="L37" s="33" t="s">
        <v>345</v>
      </c>
      <c r="M37" s="33"/>
      <c r="N37" s="33"/>
      <c r="O37" s="33">
        <v>0</v>
      </c>
    </row>
    <row r="38" spans="1:15" ht="17.5" x14ac:dyDescent="0.35">
      <c r="A38" s="3" t="s">
        <v>69</v>
      </c>
      <c r="B38" s="3" t="s">
        <v>72</v>
      </c>
      <c r="C38" s="23">
        <v>85</v>
      </c>
      <c r="D38" s="33"/>
      <c r="E38" s="33"/>
      <c r="F38" s="33"/>
      <c r="G38" s="33"/>
      <c r="H38" s="33">
        <v>50</v>
      </c>
      <c r="I38" s="33"/>
      <c r="J38" s="33"/>
      <c r="K38" s="33">
        <v>20</v>
      </c>
      <c r="L38" s="33"/>
      <c r="M38" s="33"/>
      <c r="N38" s="33"/>
      <c r="O38" s="33">
        <f t="shared" si="0"/>
        <v>125</v>
      </c>
    </row>
    <row r="39" spans="1:15" ht="17.5" x14ac:dyDescent="0.35">
      <c r="A39" s="3" t="s">
        <v>69</v>
      </c>
      <c r="B39" s="3" t="s">
        <v>77</v>
      </c>
      <c r="C39" s="23">
        <v>50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>
        <f>55 - SUM(D39:N39) + C39</f>
        <v>105</v>
      </c>
    </row>
    <row r="40" spans="1:15" ht="17.5" x14ac:dyDescent="0.35">
      <c r="A40" s="3" t="s">
        <v>69</v>
      </c>
      <c r="B40" s="3" t="s">
        <v>342</v>
      </c>
      <c r="C40" s="25"/>
      <c r="D40" s="55"/>
      <c r="E40" s="55"/>
      <c r="F40" s="55"/>
      <c r="G40" s="55"/>
      <c r="H40" s="55"/>
      <c r="I40" s="55"/>
      <c r="J40" s="33" t="s">
        <v>185</v>
      </c>
      <c r="K40" s="33"/>
      <c r="L40" s="33"/>
      <c r="M40" s="33"/>
      <c r="N40" s="33"/>
      <c r="O40" s="33">
        <v>40</v>
      </c>
    </row>
    <row r="41" spans="1:15" ht="17.5" x14ac:dyDescent="0.35">
      <c r="A41" s="3" t="s">
        <v>81</v>
      </c>
      <c r="B41" s="3" t="s">
        <v>195</v>
      </c>
      <c r="C41" s="23">
        <v>90</v>
      </c>
      <c r="D41" s="33">
        <v>50</v>
      </c>
      <c r="E41" s="33"/>
      <c r="F41" s="33"/>
      <c r="G41" s="33"/>
      <c r="H41" s="33">
        <v>80</v>
      </c>
      <c r="I41" s="33"/>
      <c r="J41" s="33"/>
      <c r="K41" s="33"/>
      <c r="L41" s="33"/>
      <c r="M41" s="33"/>
      <c r="N41" s="33"/>
      <c r="O41" s="33">
        <f t="shared" si="0"/>
        <v>70</v>
      </c>
    </row>
    <row r="42" spans="1:15" ht="17.5" x14ac:dyDescent="0.35">
      <c r="A42" s="3" t="s">
        <v>288</v>
      </c>
      <c r="B42" s="3" t="s">
        <v>289</v>
      </c>
      <c r="C42" s="23">
        <v>100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>
        <f t="shared" si="0"/>
        <v>210</v>
      </c>
    </row>
    <row r="43" spans="1:15" ht="17.5" x14ac:dyDescent="0.35">
      <c r="A43" s="3" t="s">
        <v>334</v>
      </c>
      <c r="B43" s="3" t="s">
        <v>115</v>
      </c>
      <c r="C43" s="23">
        <v>130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>
        <f>55 - SUM(D43:N43) + C43</f>
        <v>185</v>
      </c>
    </row>
    <row r="44" spans="1:15" ht="17.5" x14ac:dyDescent="0.35">
      <c r="A44" s="3" t="s">
        <v>157</v>
      </c>
      <c r="B44" s="3" t="s">
        <v>196</v>
      </c>
      <c r="C44" s="23">
        <v>90</v>
      </c>
      <c r="D44" s="33"/>
      <c r="E44" s="33"/>
      <c r="F44" s="33">
        <v>120</v>
      </c>
      <c r="G44" s="33"/>
      <c r="H44" s="33"/>
      <c r="I44" s="33"/>
      <c r="J44" s="33"/>
      <c r="K44" s="33"/>
      <c r="L44" s="33"/>
      <c r="M44" s="33"/>
      <c r="N44" s="33"/>
      <c r="O44" s="33">
        <f t="shared" si="0"/>
        <v>80</v>
      </c>
    </row>
    <row r="45" spans="1:15" ht="17.5" x14ac:dyDescent="0.35">
      <c r="A45" s="3" t="s">
        <v>161</v>
      </c>
      <c r="B45" s="3" t="s">
        <v>290</v>
      </c>
      <c r="C45" s="23">
        <v>60</v>
      </c>
      <c r="D45" s="33"/>
      <c r="E45" s="33">
        <v>30</v>
      </c>
      <c r="F45" s="33">
        <v>30</v>
      </c>
      <c r="G45" s="33">
        <v>30</v>
      </c>
      <c r="H45" s="33">
        <v>30</v>
      </c>
      <c r="I45" s="33">
        <v>30</v>
      </c>
      <c r="J45" s="33"/>
      <c r="K45" s="33"/>
      <c r="L45" s="33"/>
      <c r="M45" s="33"/>
      <c r="N45" s="33"/>
      <c r="O45" s="33">
        <f t="shared" si="0"/>
        <v>20</v>
      </c>
    </row>
    <row r="46" spans="1:15" ht="17.5" x14ac:dyDescent="0.35">
      <c r="A46" s="3" t="s">
        <v>84</v>
      </c>
      <c r="B46" s="3" t="s">
        <v>198</v>
      </c>
      <c r="C46" s="23">
        <v>100</v>
      </c>
      <c r="D46" s="33"/>
      <c r="E46" s="33"/>
      <c r="F46" s="33"/>
      <c r="G46" s="33">
        <v>100</v>
      </c>
      <c r="H46" s="33"/>
      <c r="I46" s="33"/>
      <c r="J46" s="33"/>
      <c r="K46" s="33"/>
      <c r="L46" s="33"/>
      <c r="M46" s="33"/>
      <c r="N46" s="33"/>
      <c r="O46" s="33">
        <f t="shared" si="0"/>
        <v>110</v>
      </c>
    </row>
    <row r="47" spans="1:15" ht="17.5" x14ac:dyDescent="0.35">
      <c r="A47" s="3" t="s">
        <v>84</v>
      </c>
      <c r="B47" s="3" t="s">
        <v>291</v>
      </c>
      <c r="C47" s="23">
        <v>50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>
        <f>55 - SUM(D47:N47) + C47</f>
        <v>105</v>
      </c>
    </row>
    <row r="48" spans="1:15" ht="17.5" x14ac:dyDescent="0.35">
      <c r="A48" s="3" t="s">
        <v>199</v>
      </c>
      <c r="B48" s="3" t="s">
        <v>36</v>
      </c>
      <c r="C48" s="23">
        <v>50</v>
      </c>
      <c r="D48" s="33">
        <v>100</v>
      </c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>
        <f>55 - SUM(D48:N48) + C48</f>
        <v>5</v>
      </c>
    </row>
    <row r="49" spans="1:15" ht="17.5" x14ac:dyDescent="0.35">
      <c r="A49" s="3" t="s">
        <v>87</v>
      </c>
      <c r="B49" s="3" t="s">
        <v>86</v>
      </c>
      <c r="C49" s="23">
        <v>250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>
        <f t="shared" si="0"/>
        <v>360</v>
      </c>
    </row>
    <row r="50" spans="1:15" ht="17.5" x14ac:dyDescent="0.35">
      <c r="A50" s="3" t="s">
        <v>225</v>
      </c>
      <c r="B50" s="3" t="s">
        <v>224</v>
      </c>
      <c r="C50" s="23">
        <v>110</v>
      </c>
      <c r="D50" s="33">
        <v>100</v>
      </c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>
        <f t="shared" si="0"/>
        <v>120</v>
      </c>
    </row>
    <row r="51" spans="1:15" ht="17.5" x14ac:dyDescent="0.35">
      <c r="A51" s="3" t="s">
        <v>200</v>
      </c>
      <c r="B51" s="3" t="s">
        <v>32</v>
      </c>
      <c r="C51" s="23">
        <v>100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>
        <f t="shared" si="0"/>
        <v>210</v>
      </c>
    </row>
    <row r="52" spans="1:15" ht="17.5" x14ac:dyDescent="0.35">
      <c r="A52" s="3" t="s">
        <v>164</v>
      </c>
      <c r="B52" s="3" t="s">
        <v>163</v>
      </c>
      <c r="C52" s="23">
        <v>45</v>
      </c>
      <c r="D52" s="33">
        <v>25</v>
      </c>
      <c r="E52" s="33"/>
      <c r="F52" s="33"/>
      <c r="G52" s="33"/>
      <c r="H52" s="33">
        <v>25</v>
      </c>
      <c r="I52" s="33"/>
      <c r="J52" s="33"/>
      <c r="K52" s="33"/>
      <c r="L52" s="33"/>
      <c r="M52" s="33"/>
      <c r="N52" s="33"/>
      <c r="O52" s="33">
        <f>55 - SUM(D52:N52) + C52</f>
        <v>50</v>
      </c>
    </row>
    <row r="53" spans="1:15" ht="17.5" x14ac:dyDescent="0.35">
      <c r="A53" s="3" t="s">
        <v>292</v>
      </c>
      <c r="B53" s="3" t="s">
        <v>299</v>
      </c>
      <c r="C53" s="23">
        <v>50</v>
      </c>
      <c r="D53" s="33"/>
      <c r="E53" s="33">
        <v>100</v>
      </c>
      <c r="F53" s="33"/>
      <c r="G53" s="33"/>
      <c r="H53" s="33"/>
      <c r="I53" s="33">
        <v>50</v>
      </c>
      <c r="J53" s="33"/>
      <c r="K53" s="33"/>
      <c r="L53" s="33"/>
      <c r="M53" s="33"/>
      <c r="N53" s="33"/>
      <c r="O53" s="33">
        <f>55 - SUM(D53:N53) + C53</f>
        <v>-45</v>
      </c>
    </row>
    <row r="54" spans="1:15" ht="17.5" x14ac:dyDescent="0.35">
      <c r="A54" s="3" t="s">
        <v>292</v>
      </c>
      <c r="B54" s="3" t="s">
        <v>328</v>
      </c>
      <c r="C54" s="6">
        <v>-15</v>
      </c>
      <c r="D54" s="33">
        <v>30</v>
      </c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>
        <f>55 - SUM(D54:N54) + C54</f>
        <v>10</v>
      </c>
    </row>
    <row r="55" spans="1:15" ht="17.5" x14ac:dyDescent="0.35">
      <c r="A55" s="3" t="s">
        <v>229</v>
      </c>
      <c r="B55" s="3" t="s">
        <v>228</v>
      </c>
      <c r="C55" s="6">
        <v>0</v>
      </c>
      <c r="D55" s="33">
        <v>5</v>
      </c>
      <c r="E55" s="33">
        <v>5</v>
      </c>
      <c r="F55" s="33">
        <v>5</v>
      </c>
      <c r="G55" s="33">
        <v>5</v>
      </c>
      <c r="H55" s="33">
        <v>5</v>
      </c>
      <c r="I55" s="33">
        <v>5</v>
      </c>
      <c r="J55" s="33">
        <v>5</v>
      </c>
      <c r="K55" s="33">
        <v>5</v>
      </c>
      <c r="L55" s="33">
        <v>5</v>
      </c>
      <c r="M55" s="33">
        <v>5</v>
      </c>
      <c r="N55" s="33">
        <v>5</v>
      </c>
      <c r="O55" s="33">
        <f>55 - SUM(D55:N55) + C55</f>
        <v>0</v>
      </c>
    </row>
    <row r="56" spans="1:15" ht="17.5" x14ac:dyDescent="0.35">
      <c r="A56" s="3" t="s">
        <v>165</v>
      </c>
      <c r="B56" s="3" t="s">
        <v>115</v>
      </c>
      <c r="C56" s="6">
        <v>0</v>
      </c>
      <c r="D56" s="33"/>
      <c r="E56" s="33"/>
      <c r="F56" s="33"/>
      <c r="G56" s="33"/>
      <c r="H56" s="33"/>
      <c r="I56" s="33"/>
      <c r="J56" s="33">
        <v>20</v>
      </c>
      <c r="K56" s="33"/>
      <c r="L56" s="33">
        <v>20</v>
      </c>
      <c r="M56" s="33"/>
      <c r="N56" s="33"/>
      <c r="O56" s="33">
        <f>55 - SUM(D56:N56) + C56</f>
        <v>15</v>
      </c>
    </row>
    <row r="57" spans="1:15" ht="17.5" x14ac:dyDescent="0.35">
      <c r="A57" s="3" t="s">
        <v>98</v>
      </c>
      <c r="B57" s="3" t="s">
        <v>319</v>
      </c>
      <c r="C57" s="23">
        <v>200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>
        <f t="shared" si="0"/>
        <v>310</v>
      </c>
    </row>
    <row r="58" spans="1:15" ht="17.5" x14ac:dyDescent="0.35">
      <c r="A58" s="3" t="s">
        <v>329</v>
      </c>
      <c r="B58" s="3" t="s">
        <v>108</v>
      </c>
      <c r="C58" s="6">
        <v>0</v>
      </c>
      <c r="D58" s="33"/>
      <c r="E58" s="33"/>
      <c r="F58" s="33"/>
      <c r="G58" s="33"/>
      <c r="H58" s="33"/>
      <c r="I58" s="33"/>
      <c r="J58" s="33"/>
      <c r="K58" s="33">
        <v>60</v>
      </c>
      <c r="L58" s="33"/>
      <c r="M58" s="33"/>
      <c r="N58" s="33"/>
      <c r="O58" s="33">
        <f t="shared" si="0"/>
        <v>50</v>
      </c>
    </row>
    <row r="59" spans="1:15" ht="17.5" x14ac:dyDescent="0.35">
      <c r="A59" s="3" t="s">
        <v>101</v>
      </c>
      <c r="B59" s="3" t="s">
        <v>201</v>
      </c>
      <c r="C59" s="6">
        <v>-20</v>
      </c>
      <c r="D59" s="33"/>
      <c r="E59" s="33"/>
      <c r="F59" s="33"/>
      <c r="G59" s="33"/>
      <c r="H59" s="33">
        <v>20</v>
      </c>
      <c r="I59" s="33"/>
      <c r="J59" s="33"/>
      <c r="K59" s="33"/>
      <c r="L59" s="33">
        <v>70</v>
      </c>
      <c r="M59" s="33"/>
      <c r="N59" s="33"/>
      <c r="O59" s="33">
        <f t="shared" si="0"/>
        <v>0</v>
      </c>
    </row>
    <row r="60" spans="1:15" ht="17.5" x14ac:dyDescent="0.35">
      <c r="A60" s="3" t="s">
        <v>106</v>
      </c>
      <c r="B60" s="3" t="s">
        <v>202</v>
      </c>
      <c r="C60" s="23">
        <v>30</v>
      </c>
      <c r="D60" s="33"/>
      <c r="E60" s="33"/>
      <c r="F60" s="33"/>
      <c r="G60" s="33"/>
      <c r="H60" s="33"/>
      <c r="I60" s="33">
        <v>50</v>
      </c>
      <c r="J60" s="33"/>
      <c r="K60" s="33"/>
      <c r="L60" s="33"/>
      <c r="M60" s="33"/>
      <c r="N60" s="33"/>
      <c r="O60" s="33">
        <f t="shared" si="0"/>
        <v>90</v>
      </c>
    </row>
    <row r="61" spans="1:15" ht="17.5" x14ac:dyDescent="0.35">
      <c r="A61" s="3" t="s">
        <v>109</v>
      </c>
      <c r="B61" s="3" t="s">
        <v>108</v>
      </c>
      <c r="C61" s="23">
        <v>50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>
        <f>55 - SUM(D61:N61) + C61</f>
        <v>105</v>
      </c>
    </row>
    <row r="62" spans="1:15" ht="17.5" x14ac:dyDescent="0.35">
      <c r="A62" s="3" t="s">
        <v>204</v>
      </c>
      <c r="B62" s="3" t="s">
        <v>203</v>
      </c>
      <c r="C62" s="6">
        <v>0</v>
      </c>
      <c r="D62" s="33"/>
      <c r="E62" s="33"/>
      <c r="F62" s="33"/>
      <c r="G62" s="33"/>
      <c r="H62" s="33"/>
      <c r="I62" s="33"/>
      <c r="J62" s="33">
        <v>35</v>
      </c>
      <c r="K62" s="33"/>
      <c r="L62" s="33"/>
      <c r="M62" s="33"/>
      <c r="N62" s="33"/>
      <c r="O62" s="33">
        <f>55 - SUM(D62:N62) + C62</f>
        <v>20</v>
      </c>
    </row>
    <row r="63" spans="1:15" ht="17.5" x14ac:dyDescent="0.35">
      <c r="A63" s="3" t="s">
        <v>232</v>
      </c>
      <c r="B63" s="3" t="s">
        <v>231</v>
      </c>
      <c r="C63" s="23">
        <v>70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>
        <f t="shared" si="0"/>
        <v>180</v>
      </c>
    </row>
    <row r="64" spans="1:15" ht="17.5" x14ac:dyDescent="0.35">
      <c r="A64" s="3" t="s">
        <v>168</v>
      </c>
      <c r="B64" s="3" t="s">
        <v>167</v>
      </c>
      <c r="C64" s="23">
        <v>200</v>
      </c>
      <c r="D64" s="33"/>
      <c r="E64" s="33"/>
      <c r="F64" s="33"/>
      <c r="G64" s="33"/>
      <c r="H64" s="33"/>
      <c r="I64" s="33"/>
      <c r="J64" s="33"/>
      <c r="K64" s="33"/>
      <c r="L64" s="33">
        <v>310</v>
      </c>
      <c r="M64" s="33"/>
      <c r="N64" s="33"/>
      <c r="O64" s="33">
        <f t="shared" si="0"/>
        <v>0</v>
      </c>
    </row>
    <row r="65" spans="1:15" ht="17.5" x14ac:dyDescent="0.35">
      <c r="A65" s="3" t="s">
        <v>205</v>
      </c>
      <c r="B65" s="3" t="s">
        <v>234</v>
      </c>
      <c r="C65" s="23">
        <v>180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>
        <f t="shared" si="0"/>
        <v>290</v>
      </c>
    </row>
    <row r="66" spans="1:15" ht="17.5" x14ac:dyDescent="0.35">
      <c r="A66" s="3" t="s">
        <v>13</v>
      </c>
      <c r="B66" s="3" t="s">
        <v>318</v>
      </c>
      <c r="C66" s="23">
        <v>150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>
        <f t="shared" si="0"/>
        <v>260</v>
      </c>
    </row>
    <row r="67" spans="1:15" ht="17.5" x14ac:dyDescent="0.35">
      <c r="A67" s="3" t="s">
        <v>13</v>
      </c>
      <c r="B67" s="3" t="s">
        <v>235</v>
      </c>
      <c r="C67" s="23">
        <v>45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>
        <f>55 - SUM(D67:N67) + C67</f>
        <v>100</v>
      </c>
    </row>
    <row r="68" spans="1:15" ht="17.5" x14ac:dyDescent="0.35">
      <c r="A68" s="3" t="s">
        <v>300</v>
      </c>
      <c r="B68" s="3" t="s">
        <v>237</v>
      </c>
      <c r="C68" s="6">
        <v>0</v>
      </c>
      <c r="D68" s="33"/>
      <c r="E68" s="33"/>
      <c r="F68" s="33">
        <v>30</v>
      </c>
      <c r="G68" s="33"/>
      <c r="H68" s="33"/>
      <c r="I68" s="33"/>
      <c r="J68" s="33">
        <v>50</v>
      </c>
      <c r="K68" s="33"/>
      <c r="L68" s="33">
        <v>30</v>
      </c>
      <c r="M68" s="33"/>
      <c r="N68" s="33"/>
      <c r="O68" s="33">
        <f t="shared" si="0"/>
        <v>0</v>
      </c>
    </row>
    <row r="69" spans="1:15" ht="17.5" x14ac:dyDescent="0.35">
      <c r="A69" s="3" t="s">
        <v>170</v>
      </c>
      <c r="B69" s="3" t="s">
        <v>344</v>
      </c>
      <c r="C69" s="25"/>
      <c r="D69" s="55"/>
      <c r="E69" s="55"/>
      <c r="F69" s="55"/>
      <c r="G69" s="55"/>
      <c r="H69" s="55"/>
      <c r="I69" s="55"/>
      <c r="J69" s="55"/>
      <c r="K69" s="55"/>
      <c r="L69" s="33" t="s">
        <v>345</v>
      </c>
      <c r="M69" s="33"/>
      <c r="N69" s="33"/>
      <c r="O69" s="33">
        <v>0</v>
      </c>
    </row>
    <row r="70" spans="1:15" ht="17.5" x14ac:dyDescent="0.35">
      <c r="A70" s="3" t="s">
        <v>119</v>
      </c>
      <c r="B70" s="3" t="s">
        <v>118</v>
      </c>
      <c r="C70" s="6">
        <v>-10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>
        <f>55 - SUM(D70:N70) + C70</f>
        <v>45</v>
      </c>
    </row>
    <row r="71" spans="1:15" ht="17.5" x14ac:dyDescent="0.35">
      <c r="A71" s="3" t="s">
        <v>121</v>
      </c>
      <c r="B71" s="3" t="s">
        <v>206</v>
      </c>
      <c r="C71" s="23">
        <v>30</v>
      </c>
      <c r="D71" s="33"/>
      <c r="E71" s="33"/>
      <c r="F71" s="33"/>
      <c r="G71" s="33"/>
      <c r="H71" s="33"/>
      <c r="I71" s="33">
        <v>120</v>
      </c>
      <c r="J71" s="33"/>
      <c r="K71" s="33"/>
      <c r="L71" s="33"/>
      <c r="M71" s="33"/>
      <c r="N71" s="33"/>
      <c r="O71" s="33">
        <f t="shared" si="0"/>
        <v>20</v>
      </c>
    </row>
    <row r="72" spans="1:15" ht="17.5" x14ac:dyDescent="0.35">
      <c r="A72" s="3" t="s">
        <v>122</v>
      </c>
      <c r="B72" s="3" t="s">
        <v>207</v>
      </c>
      <c r="C72" s="23">
        <v>90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>
        <f t="shared" si="0"/>
        <v>200</v>
      </c>
    </row>
    <row r="73" spans="1:15" ht="17.5" x14ac:dyDescent="0.35">
      <c r="A73" s="3" t="s">
        <v>293</v>
      </c>
      <c r="B73" s="3" t="s">
        <v>294</v>
      </c>
      <c r="C73" s="23">
        <v>30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>
        <f t="shared" si="0"/>
        <v>140</v>
      </c>
    </row>
    <row r="74" spans="1:15" ht="17.5" x14ac:dyDescent="0.35">
      <c r="A74" s="3" t="s">
        <v>351</v>
      </c>
      <c r="B74" s="3" t="s">
        <v>56</v>
      </c>
      <c r="C74" s="25"/>
      <c r="D74" s="55"/>
      <c r="E74" s="55"/>
      <c r="F74" s="55"/>
      <c r="G74" s="55"/>
      <c r="H74" s="55"/>
      <c r="I74" s="33" t="s">
        <v>185</v>
      </c>
      <c r="J74" s="33">
        <v>20</v>
      </c>
      <c r="K74" s="33"/>
      <c r="L74" s="33"/>
      <c r="M74" s="33"/>
      <c r="N74" s="33"/>
      <c r="O74" s="33">
        <v>0</v>
      </c>
    </row>
    <row r="75" spans="1:15" ht="17.5" x14ac:dyDescent="0.35">
      <c r="A75" s="3" t="s">
        <v>129</v>
      </c>
      <c r="B75" s="3" t="s">
        <v>128</v>
      </c>
      <c r="C75" s="23">
        <v>25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>
        <f>55 - SUM(D75:N75) + C75</f>
        <v>80</v>
      </c>
    </row>
    <row r="76" spans="1:15" ht="17.5" x14ac:dyDescent="0.35">
      <c r="A76" s="3" t="s">
        <v>346</v>
      </c>
      <c r="B76" s="3" t="s">
        <v>347</v>
      </c>
      <c r="C76" s="25"/>
      <c r="D76" s="55"/>
      <c r="E76" s="55"/>
      <c r="F76" s="55"/>
      <c r="G76" s="55"/>
      <c r="H76" s="55"/>
      <c r="I76" s="55"/>
      <c r="J76" s="55"/>
      <c r="K76" s="55"/>
      <c r="L76" s="55"/>
      <c r="M76" s="33" t="s">
        <v>185</v>
      </c>
      <c r="N76" s="33"/>
      <c r="O76" s="33">
        <v>10</v>
      </c>
    </row>
    <row r="77" spans="1:15" ht="17.5" x14ac:dyDescent="0.35">
      <c r="A77" s="3" t="s">
        <v>335</v>
      </c>
      <c r="B77" s="3" t="s">
        <v>305</v>
      </c>
      <c r="C77" s="25"/>
      <c r="D77" s="33"/>
      <c r="E77" s="33"/>
      <c r="F77" s="33"/>
      <c r="G77" s="33"/>
      <c r="H77" s="33"/>
      <c r="I77" s="33" t="s">
        <v>341</v>
      </c>
      <c r="J77" s="33">
        <v>15</v>
      </c>
      <c r="K77" s="33"/>
      <c r="L77" s="33"/>
      <c r="M77" s="33"/>
      <c r="N77" s="33"/>
      <c r="O77" s="33">
        <f>20 - SUM(D77:N77) + C77</f>
        <v>5</v>
      </c>
    </row>
    <row r="78" spans="1:15" ht="17.5" x14ac:dyDescent="0.35">
      <c r="A78" s="3" t="s">
        <v>131</v>
      </c>
      <c r="B78" s="3" t="s">
        <v>208</v>
      </c>
      <c r="C78" s="6">
        <v>0</v>
      </c>
      <c r="D78" s="33">
        <v>100</v>
      </c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>
        <f t="shared" ref="O78" si="1">110 - SUM(D78:N78) + C78</f>
        <v>10</v>
      </c>
    </row>
    <row r="79" spans="1:15" x14ac:dyDescent="0.35">
      <c r="O79">
        <f>SUM(O2:O78)</f>
        <v>6168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FB7C-490D-48DB-9A52-872C24A672C3}">
  <dimension ref="A1:C208"/>
  <sheetViews>
    <sheetView topLeftCell="A64" zoomScale="83" workbookViewId="0">
      <selection activeCell="C38" sqref="C38"/>
    </sheetView>
  </sheetViews>
  <sheetFormatPr defaultColWidth="8.7265625" defaultRowHeight="18.5" x14ac:dyDescent="0.45"/>
  <cols>
    <col min="1" max="1" width="24.54296875" customWidth="1"/>
    <col min="2" max="2" width="36.54296875" customWidth="1"/>
    <col min="3" max="3" width="11.54296875" style="37" customWidth="1"/>
  </cols>
  <sheetData>
    <row r="1" spans="1:3" x14ac:dyDescent="0.45">
      <c r="A1" s="53" t="s">
        <v>1</v>
      </c>
      <c r="B1" s="54" t="s">
        <v>0</v>
      </c>
    </row>
    <row r="2" spans="1:3" x14ac:dyDescent="0.45">
      <c r="A2" s="26" t="s">
        <v>181</v>
      </c>
      <c r="B2" s="36" t="s">
        <v>301</v>
      </c>
      <c r="C2" s="48">
        <v>110</v>
      </c>
    </row>
    <row r="3" spans="1:3" x14ac:dyDescent="0.45">
      <c r="A3" s="26" t="s">
        <v>181</v>
      </c>
      <c r="B3" s="36" t="s">
        <v>241</v>
      </c>
      <c r="C3" s="50"/>
    </row>
    <row r="4" spans="1:3" x14ac:dyDescent="0.45">
      <c r="A4" s="26" t="s">
        <v>278</v>
      </c>
      <c r="B4" s="36" t="s">
        <v>279</v>
      </c>
      <c r="C4" s="50"/>
    </row>
    <row r="5" spans="1:3" x14ac:dyDescent="0.45">
      <c r="A5" s="26" t="s">
        <v>10</v>
      </c>
      <c r="B5" s="36" t="s">
        <v>9</v>
      </c>
      <c r="C5" s="49">
        <v>50</v>
      </c>
    </row>
    <row r="6" spans="1:3" x14ac:dyDescent="0.45">
      <c r="A6" s="26" t="s">
        <v>10</v>
      </c>
      <c r="B6" s="36" t="s">
        <v>146</v>
      </c>
      <c r="C6" s="50"/>
    </row>
    <row r="7" spans="1:3" x14ac:dyDescent="0.45">
      <c r="A7" s="26" t="s">
        <v>10</v>
      </c>
      <c r="B7" s="36" t="s">
        <v>13</v>
      </c>
      <c r="C7" s="51"/>
    </row>
    <row r="8" spans="1:3" x14ac:dyDescent="0.45">
      <c r="A8" s="26" t="s">
        <v>16</v>
      </c>
      <c r="B8" s="36" t="s">
        <v>242</v>
      </c>
      <c r="C8" s="49">
        <v>50</v>
      </c>
    </row>
    <row r="9" spans="1:3" x14ac:dyDescent="0.45">
      <c r="A9" s="26" t="s">
        <v>16</v>
      </c>
      <c r="B9" s="36" t="s">
        <v>18</v>
      </c>
      <c r="C9" s="49">
        <v>100</v>
      </c>
    </row>
    <row r="10" spans="1:3" x14ac:dyDescent="0.45">
      <c r="A10" s="26" t="s">
        <v>179</v>
      </c>
      <c r="B10" s="36" t="s">
        <v>178</v>
      </c>
      <c r="C10" s="48">
        <v>100</v>
      </c>
    </row>
    <row r="11" spans="1:3" x14ac:dyDescent="0.45">
      <c r="A11" s="26" t="s">
        <v>179</v>
      </c>
      <c r="B11" s="36" t="s">
        <v>46</v>
      </c>
      <c r="C11" s="50"/>
    </row>
    <row r="12" spans="1:3" x14ac:dyDescent="0.45">
      <c r="A12" s="26" t="s">
        <v>214</v>
      </c>
      <c r="B12" s="36" t="s">
        <v>243</v>
      </c>
      <c r="C12" s="52"/>
    </row>
    <row r="13" spans="1:3" x14ac:dyDescent="0.45">
      <c r="A13" s="26" t="s">
        <v>214</v>
      </c>
      <c r="B13" s="36" t="s">
        <v>147</v>
      </c>
      <c r="C13" s="49">
        <v>300</v>
      </c>
    </row>
    <row r="14" spans="1:3" x14ac:dyDescent="0.45">
      <c r="A14" s="26" t="s">
        <v>214</v>
      </c>
      <c r="B14" s="36" t="s">
        <v>215</v>
      </c>
      <c r="C14" s="49">
        <v>50</v>
      </c>
    </row>
    <row r="15" spans="1:3" x14ac:dyDescent="0.45">
      <c r="A15" s="26" t="s">
        <v>280</v>
      </c>
      <c r="B15" s="36" t="s">
        <v>314</v>
      </c>
      <c r="C15" s="51"/>
    </row>
    <row r="16" spans="1:3" x14ac:dyDescent="0.45">
      <c r="A16" s="26" t="s">
        <v>280</v>
      </c>
      <c r="B16" s="36" t="s">
        <v>115</v>
      </c>
      <c r="C16" s="51"/>
    </row>
    <row r="17" spans="1:3" x14ac:dyDescent="0.45">
      <c r="A17" s="26" t="s">
        <v>217</v>
      </c>
      <c r="B17" s="36" t="s">
        <v>169</v>
      </c>
      <c r="C17" s="50"/>
    </row>
    <row r="18" spans="1:3" x14ac:dyDescent="0.45">
      <c r="A18" s="26" t="s">
        <v>29</v>
      </c>
      <c r="B18" s="36" t="s">
        <v>244</v>
      </c>
      <c r="C18" s="50"/>
    </row>
    <row r="19" spans="1:3" x14ac:dyDescent="0.45">
      <c r="A19" s="26" t="s">
        <v>29</v>
      </c>
      <c r="B19" s="36" t="s">
        <v>245</v>
      </c>
      <c r="C19" s="51"/>
    </row>
    <row r="20" spans="1:3" x14ac:dyDescent="0.45">
      <c r="A20" s="26" t="s">
        <v>184</v>
      </c>
      <c r="B20" s="36" t="s">
        <v>183</v>
      </c>
      <c r="C20" s="49">
        <v>50</v>
      </c>
    </row>
    <row r="21" spans="1:3" x14ac:dyDescent="0.45">
      <c r="A21" s="26" t="s">
        <v>282</v>
      </c>
      <c r="B21" s="36" t="s">
        <v>283</v>
      </c>
      <c r="C21" s="50"/>
    </row>
    <row r="22" spans="1:3" x14ac:dyDescent="0.45">
      <c r="A22" s="26" t="s">
        <v>147</v>
      </c>
      <c r="B22" s="36" t="s">
        <v>148</v>
      </c>
      <c r="C22" s="49">
        <v>55</v>
      </c>
    </row>
    <row r="23" spans="1:3" x14ac:dyDescent="0.45">
      <c r="A23" s="26" t="s">
        <v>147</v>
      </c>
      <c r="B23" s="36" t="s">
        <v>33</v>
      </c>
      <c r="C23" s="50"/>
    </row>
    <row r="24" spans="1:3" x14ac:dyDescent="0.45">
      <c r="A24" s="26" t="s">
        <v>44</v>
      </c>
      <c r="B24" s="36" t="s">
        <v>43</v>
      </c>
      <c r="C24" s="49">
        <v>50</v>
      </c>
    </row>
    <row r="25" spans="1:3" x14ac:dyDescent="0.45">
      <c r="A25" s="26" t="s">
        <v>47</v>
      </c>
      <c r="B25" s="36" t="s">
        <v>143</v>
      </c>
      <c r="C25" s="50"/>
    </row>
    <row r="26" spans="1:3" x14ac:dyDescent="0.45">
      <c r="A26" s="26" t="s">
        <v>49</v>
      </c>
      <c r="B26" s="36" t="s">
        <v>303</v>
      </c>
      <c r="C26" s="49"/>
    </row>
    <row r="27" spans="1:3" x14ac:dyDescent="0.45">
      <c r="A27" s="26" t="s">
        <v>49</v>
      </c>
      <c r="B27" s="36" t="s">
        <v>51</v>
      </c>
      <c r="C27" s="49">
        <v>100</v>
      </c>
    </row>
    <row r="28" spans="1:3" x14ac:dyDescent="0.45">
      <c r="A28" s="26" t="s">
        <v>295</v>
      </c>
      <c r="B28" s="36" t="s">
        <v>115</v>
      </c>
      <c r="C28" s="51"/>
    </row>
    <row r="29" spans="1:3" x14ac:dyDescent="0.45">
      <c r="A29" s="26" t="s">
        <v>284</v>
      </c>
      <c r="B29" s="36" t="s">
        <v>304</v>
      </c>
      <c r="C29" s="49">
        <v>60</v>
      </c>
    </row>
    <row r="30" spans="1:3" x14ac:dyDescent="0.45">
      <c r="A30" s="26" t="s">
        <v>284</v>
      </c>
      <c r="B30" s="36" t="s">
        <v>305</v>
      </c>
      <c r="C30" s="50"/>
    </row>
    <row r="31" spans="1:3" x14ac:dyDescent="0.45">
      <c r="A31" s="26" t="s">
        <v>188</v>
      </c>
      <c r="B31" s="36" t="s">
        <v>306</v>
      </c>
      <c r="C31" s="51"/>
    </row>
    <row r="32" spans="1:3" x14ac:dyDescent="0.45">
      <c r="A32" s="26" t="s">
        <v>188</v>
      </c>
      <c r="B32" s="36" t="s">
        <v>246</v>
      </c>
      <c r="C32" s="50"/>
    </row>
    <row r="33" spans="1:3" x14ac:dyDescent="0.45">
      <c r="A33" s="26" t="s">
        <v>54</v>
      </c>
      <c r="B33" s="36" t="s">
        <v>53</v>
      </c>
      <c r="C33" s="49">
        <v>150</v>
      </c>
    </row>
    <row r="34" spans="1:3" x14ac:dyDescent="0.45">
      <c r="A34" s="26" t="s">
        <v>151</v>
      </c>
      <c r="B34" s="36" t="s">
        <v>317</v>
      </c>
      <c r="C34" s="49">
        <v>300</v>
      </c>
    </row>
    <row r="35" spans="1:3" x14ac:dyDescent="0.45">
      <c r="A35" s="26" t="s">
        <v>151</v>
      </c>
      <c r="B35" s="36" t="s">
        <v>115</v>
      </c>
      <c r="C35" s="52"/>
    </row>
    <row r="36" spans="1:3" x14ac:dyDescent="0.45">
      <c r="A36" s="26" t="s">
        <v>296</v>
      </c>
      <c r="B36" s="36" t="s">
        <v>297</v>
      </c>
      <c r="C36" s="48">
        <v>100</v>
      </c>
    </row>
    <row r="37" spans="1:3" x14ac:dyDescent="0.45">
      <c r="A37" s="26" t="s">
        <v>298</v>
      </c>
      <c r="B37" s="36" t="s">
        <v>262</v>
      </c>
      <c r="C37" s="49">
        <v>100</v>
      </c>
    </row>
    <row r="38" spans="1:3" x14ac:dyDescent="0.45">
      <c r="A38" s="26" t="s">
        <v>298</v>
      </c>
      <c r="B38" s="36" t="s">
        <v>316</v>
      </c>
      <c r="C38" s="49"/>
    </row>
    <row r="39" spans="1:3" x14ac:dyDescent="0.45">
      <c r="A39" s="26" t="s">
        <v>57</v>
      </c>
      <c r="B39" s="36" t="s">
        <v>248</v>
      </c>
      <c r="C39" s="49">
        <v>50</v>
      </c>
    </row>
    <row r="40" spans="1:3" x14ac:dyDescent="0.45">
      <c r="A40" s="26" t="s">
        <v>57</v>
      </c>
      <c r="B40" s="36" t="s">
        <v>59</v>
      </c>
      <c r="C40" s="49">
        <v>500</v>
      </c>
    </row>
    <row r="41" spans="1:3" x14ac:dyDescent="0.45">
      <c r="A41" s="26" t="s">
        <v>321</v>
      </c>
      <c r="B41" s="26" t="s">
        <v>330</v>
      </c>
      <c r="C41" s="49">
        <v>100</v>
      </c>
    </row>
    <row r="42" spans="1:3" x14ac:dyDescent="0.45">
      <c r="A42" s="26" t="s">
        <v>321</v>
      </c>
      <c r="B42" s="26" t="s">
        <v>331</v>
      </c>
      <c r="C42" s="49"/>
    </row>
    <row r="43" spans="1:3" x14ac:dyDescent="0.45">
      <c r="A43" s="26" t="s">
        <v>62</v>
      </c>
      <c r="B43" s="36" t="s">
        <v>250</v>
      </c>
      <c r="C43" s="49">
        <v>100</v>
      </c>
    </row>
    <row r="44" spans="1:3" x14ac:dyDescent="0.45">
      <c r="A44" s="26" t="s">
        <v>62</v>
      </c>
      <c r="B44" s="36" t="s">
        <v>64</v>
      </c>
      <c r="C44" s="49"/>
    </row>
    <row r="45" spans="1:3" x14ac:dyDescent="0.45">
      <c r="A45" s="26" t="s">
        <v>69</v>
      </c>
      <c r="B45" s="36" t="s">
        <v>70</v>
      </c>
      <c r="C45" s="48">
        <v>105</v>
      </c>
    </row>
    <row r="46" spans="1:3" x14ac:dyDescent="0.45">
      <c r="A46" s="26" t="s">
        <v>69</v>
      </c>
      <c r="B46" s="36" t="s">
        <v>72</v>
      </c>
      <c r="C46" s="49">
        <v>60</v>
      </c>
    </row>
    <row r="47" spans="1:3" x14ac:dyDescent="0.45">
      <c r="A47" s="26" t="s">
        <v>69</v>
      </c>
      <c r="B47" s="36" t="s">
        <v>77</v>
      </c>
      <c r="C47" s="50"/>
    </row>
    <row r="48" spans="1:3" x14ac:dyDescent="0.45">
      <c r="A48" s="26" t="s">
        <v>81</v>
      </c>
      <c r="B48" s="36" t="s">
        <v>252</v>
      </c>
      <c r="C48" s="49">
        <v>50</v>
      </c>
    </row>
    <row r="49" spans="1:3" x14ac:dyDescent="0.45">
      <c r="A49" s="26" t="s">
        <v>81</v>
      </c>
      <c r="B49" s="36" t="s">
        <v>253</v>
      </c>
      <c r="C49" s="49">
        <v>70</v>
      </c>
    </row>
    <row r="50" spans="1:3" x14ac:dyDescent="0.45">
      <c r="A50" s="26" t="s">
        <v>333</v>
      </c>
      <c r="B50" s="36" t="s">
        <v>262</v>
      </c>
      <c r="C50" s="49">
        <v>50</v>
      </c>
    </row>
    <row r="51" spans="1:3" x14ac:dyDescent="0.45">
      <c r="A51" s="26" t="s">
        <v>288</v>
      </c>
      <c r="B51" s="36" t="s">
        <v>289</v>
      </c>
      <c r="C51" s="50"/>
    </row>
    <row r="52" spans="1:3" x14ac:dyDescent="0.45">
      <c r="A52" s="26" t="s">
        <v>334</v>
      </c>
      <c r="B52" s="36" t="s">
        <v>115</v>
      </c>
      <c r="C52" s="49">
        <v>50</v>
      </c>
    </row>
    <row r="53" spans="1:3" x14ac:dyDescent="0.45">
      <c r="A53" s="26" t="s">
        <v>157</v>
      </c>
      <c r="B53" s="36" t="s">
        <v>254</v>
      </c>
      <c r="C53" s="49">
        <v>100</v>
      </c>
    </row>
    <row r="54" spans="1:3" x14ac:dyDescent="0.45">
      <c r="A54" s="26" t="s">
        <v>157</v>
      </c>
      <c r="B54" s="36" t="s">
        <v>255</v>
      </c>
      <c r="C54" s="49"/>
    </row>
    <row r="55" spans="1:3" x14ac:dyDescent="0.45">
      <c r="A55" s="26" t="s">
        <v>161</v>
      </c>
      <c r="B55" s="36" t="s">
        <v>307</v>
      </c>
      <c r="C55" s="49">
        <v>100</v>
      </c>
    </row>
    <row r="56" spans="1:3" x14ac:dyDescent="0.45">
      <c r="A56" s="26" t="s">
        <v>161</v>
      </c>
      <c r="B56" s="36" t="s">
        <v>256</v>
      </c>
      <c r="C56" s="51"/>
    </row>
    <row r="57" spans="1:3" x14ac:dyDescent="0.45">
      <c r="A57" s="26" t="s">
        <v>84</v>
      </c>
      <c r="B57" s="36" t="s">
        <v>257</v>
      </c>
      <c r="C57" s="49">
        <v>50</v>
      </c>
    </row>
    <row r="58" spans="1:3" x14ac:dyDescent="0.45">
      <c r="A58" s="26" t="s">
        <v>84</v>
      </c>
      <c r="B58" s="36" t="s">
        <v>83</v>
      </c>
      <c r="C58" s="49">
        <v>80</v>
      </c>
    </row>
    <row r="59" spans="1:3" x14ac:dyDescent="0.45">
      <c r="A59" s="26" t="s">
        <v>84</v>
      </c>
      <c r="B59" s="36" t="s">
        <v>291</v>
      </c>
      <c r="C59" s="50"/>
    </row>
    <row r="60" spans="1:3" x14ac:dyDescent="0.45">
      <c r="A60" s="26" t="s">
        <v>199</v>
      </c>
      <c r="B60" s="36" t="s">
        <v>36</v>
      </c>
      <c r="C60" s="49">
        <v>200</v>
      </c>
    </row>
    <row r="61" spans="1:3" x14ac:dyDescent="0.45">
      <c r="A61" s="26" t="s">
        <v>225</v>
      </c>
      <c r="B61" s="36" t="s">
        <v>308</v>
      </c>
      <c r="C61" s="52"/>
    </row>
    <row r="62" spans="1:3" x14ac:dyDescent="0.45">
      <c r="A62" s="26" t="s">
        <v>225</v>
      </c>
      <c r="B62" s="36" t="s">
        <v>260</v>
      </c>
      <c r="C62" s="49">
        <v>100</v>
      </c>
    </row>
    <row r="63" spans="1:3" x14ac:dyDescent="0.45">
      <c r="A63" s="26" t="s">
        <v>164</v>
      </c>
      <c r="B63" s="36" t="s">
        <v>163</v>
      </c>
      <c r="C63" s="49">
        <v>50</v>
      </c>
    </row>
    <row r="64" spans="1:3" x14ac:dyDescent="0.45">
      <c r="A64" s="26" t="s">
        <v>292</v>
      </c>
      <c r="B64" s="36" t="s">
        <v>299</v>
      </c>
      <c r="C64" s="49">
        <v>50</v>
      </c>
    </row>
    <row r="65" spans="1:3" x14ac:dyDescent="0.45">
      <c r="A65" s="26" t="s">
        <v>292</v>
      </c>
      <c r="B65" s="36" t="s">
        <v>115</v>
      </c>
      <c r="C65" s="51"/>
    </row>
    <row r="66" spans="1:3" x14ac:dyDescent="0.45">
      <c r="A66" s="26" t="s">
        <v>292</v>
      </c>
      <c r="B66" s="36" t="s">
        <v>309</v>
      </c>
      <c r="C66" s="50"/>
    </row>
    <row r="67" spans="1:3" x14ac:dyDescent="0.45">
      <c r="A67" s="26" t="s">
        <v>229</v>
      </c>
      <c r="B67" s="36" t="s">
        <v>228</v>
      </c>
      <c r="C67" s="51"/>
    </row>
    <row r="68" spans="1:3" x14ac:dyDescent="0.45">
      <c r="A68" s="26" t="s">
        <v>165</v>
      </c>
      <c r="B68" s="36" t="s">
        <v>115</v>
      </c>
      <c r="C68" s="49">
        <v>50</v>
      </c>
    </row>
    <row r="69" spans="1:3" x14ac:dyDescent="0.45">
      <c r="A69" s="26" t="s">
        <v>98</v>
      </c>
      <c r="B69" s="36" t="s">
        <v>310</v>
      </c>
      <c r="C69" s="51"/>
    </row>
    <row r="70" spans="1:3" x14ac:dyDescent="0.45">
      <c r="A70" s="26" t="s">
        <v>98</v>
      </c>
      <c r="B70" s="36" t="s">
        <v>97</v>
      </c>
      <c r="C70" s="51"/>
    </row>
    <row r="71" spans="1:3" x14ac:dyDescent="0.45">
      <c r="A71" s="26" t="s">
        <v>329</v>
      </c>
      <c r="B71" s="26" t="s">
        <v>108</v>
      </c>
      <c r="C71" s="51"/>
    </row>
    <row r="72" spans="1:3" x14ac:dyDescent="0.45">
      <c r="A72" s="26" t="s">
        <v>101</v>
      </c>
      <c r="B72" s="36" t="s">
        <v>311</v>
      </c>
      <c r="C72" s="49">
        <v>200</v>
      </c>
    </row>
    <row r="73" spans="1:3" x14ac:dyDescent="0.45">
      <c r="A73" s="26" t="s">
        <v>101</v>
      </c>
      <c r="B73" s="36" t="s">
        <v>103</v>
      </c>
      <c r="C73" s="49"/>
    </row>
    <row r="74" spans="1:3" x14ac:dyDescent="0.45">
      <c r="A74" s="26" t="s">
        <v>106</v>
      </c>
      <c r="B74" s="36" t="s">
        <v>105</v>
      </c>
      <c r="C74" s="49">
        <v>100</v>
      </c>
    </row>
    <row r="75" spans="1:3" x14ac:dyDescent="0.45">
      <c r="A75" s="26" t="s">
        <v>106</v>
      </c>
      <c r="B75" s="36" t="s">
        <v>43</v>
      </c>
      <c r="C75" s="49">
        <v>50</v>
      </c>
    </row>
    <row r="76" spans="1:3" x14ac:dyDescent="0.45">
      <c r="A76" s="26" t="s">
        <v>109</v>
      </c>
      <c r="B76" s="36" t="s">
        <v>108</v>
      </c>
      <c r="C76" s="50"/>
    </row>
    <row r="77" spans="1:3" x14ac:dyDescent="0.45">
      <c r="A77" s="26" t="s">
        <v>204</v>
      </c>
      <c r="B77" s="36" t="s">
        <v>203</v>
      </c>
      <c r="C77" s="49">
        <v>50</v>
      </c>
    </row>
    <row r="78" spans="1:3" x14ac:dyDescent="0.45">
      <c r="A78" s="26" t="s">
        <v>232</v>
      </c>
      <c r="B78" s="36" t="s">
        <v>231</v>
      </c>
      <c r="C78" s="50"/>
    </row>
    <row r="79" spans="1:3" x14ac:dyDescent="0.45">
      <c r="A79" s="26" t="s">
        <v>168</v>
      </c>
      <c r="B79" s="36" t="s">
        <v>167</v>
      </c>
      <c r="C79" s="50"/>
    </row>
    <row r="80" spans="1:3" x14ac:dyDescent="0.45">
      <c r="A80" s="26" t="s">
        <v>205</v>
      </c>
      <c r="B80" s="36" t="s">
        <v>312</v>
      </c>
      <c r="C80" s="51"/>
    </row>
    <row r="81" spans="1:3" x14ac:dyDescent="0.45">
      <c r="A81" s="26" t="s">
        <v>205</v>
      </c>
      <c r="B81" s="36" t="s">
        <v>265</v>
      </c>
      <c r="C81" s="50"/>
    </row>
    <row r="82" spans="1:3" x14ac:dyDescent="0.45">
      <c r="A82" s="26" t="s">
        <v>13</v>
      </c>
      <c r="B82" s="36" t="s">
        <v>110</v>
      </c>
      <c r="C82" s="49">
        <v>100</v>
      </c>
    </row>
    <row r="83" spans="1:3" x14ac:dyDescent="0.45">
      <c r="A83" s="26" t="s">
        <v>13</v>
      </c>
      <c r="B83" s="36" t="s">
        <v>169</v>
      </c>
      <c r="C83" s="52"/>
    </row>
    <row r="84" spans="1:3" x14ac:dyDescent="0.45">
      <c r="A84" s="26" t="s">
        <v>300</v>
      </c>
      <c r="B84" s="36" t="s">
        <v>266</v>
      </c>
      <c r="C84" s="49">
        <v>50</v>
      </c>
    </row>
    <row r="85" spans="1:3" x14ac:dyDescent="0.45">
      <c r="A85" s="26" t="s">
        <v>300</v>
      </c>
      <c r="B85" s="36" t="s">
        <v>267</v>
      </c>
      <c r="C85" s="49">
        <v>100</v>
      </c>
    </row>
    <row r="86" spans="1:3" x14ac:dyDescent="0.45">
      <c r="A86" s="26" t="s">
        <v>119</v>
      </c>
      <c r="B86" s="36" t="s">
        <v>118</v>
      </c>
      <c r="C86" s="51"/>
    </row>
    <row r="87" spans="1:3" x14ac:dyDescent="0.45">
      <c r="A87" s="26" t="s">
        <v>121</v>
      </c>
      <c r="B87" s="36" t="s">
        <v>268</v>
      </c>
      <c r="C87" s="51"/>
    </row>
    <row r="88" spans="1:3" x14ac:dyDescent="0.45">
      <c r="A88" s="26" t="s">
        <v>121</v>
      </c>
      <c r="B88" s="36" t="s">
        <v>269</v>
      </c>
      <c r="C88" s="49">
        <v>50</v>
      </c>
    </row>
    <row r="89" spans="1:3" x14ac:dyDescent="0.45">
      <c r="A89" s="26" t="s">
        <v>122</v>
      </c>
      <c r="B89" s="36" t="s">
        <v>270</v>
      </c>
      <c r="C89" s="52">
        <v>100</v>
      </c>
    </row>
    <row r="90" spans="1:3" x14ac:dyDescent="0.45">
      <c r="A90" s="26" t="s">
        <v>122</v>
      </c>
      <c r="B90" s="36" t="s">
        <v>313</v>
      </c>
      <c r="C90" s="49"/>
    </row>
    <row r="91" spans="1:3" x14ac:dyDescent="0.45">
      <c r="A91" s="26" t="s">
        <v>293</v>
      </c>
      <c r="B91" s="36" t="s">
        <v>294</v>
      </c>
      <c r="C91" s="49">
        <v>100</v>
      </c>
    </row>
    <row r="92" spans="1:3" x14ac:dyDescent="0.45">
      <c r="A92" s="26" t="s">
        <v>129</v>
      </c>
      <c r="B92" s="36" t="s">
        <v>128</v>
      </c>
      <c r="C92" s="49">
        <v>50</v>
      </c>
    </row>
    <row r="93" spans="1:3" x14ac:dyDescent="0.45">
      <c r="A93" s="26" t="s">
        <v>335</v>
      </c>
      <c r="B93" s="36" t="s">
        <v>305</v>
      </c>
      <c r="C93" s="49">
        <v>50</v>
      </c>
    </row>
    <row r="94" spans="1:3" x14ac:dyDescent="0.45">
      <c r="A94" s="26" t="s">
        <v>131</v>
      </c>
      <c r="B94" s="36" t="s">
        <v>272</v>
      </c>
      <c r="C94" s="52"/>
    </row>
    <row r="95" spans="1:3" x14ac:dyDescent="0.45">
      <c r="A95" s="26" t="s">
        <v>131</v>
      </c>
      <c r="B95" s="36" t="s">
        <v>133</v>
      </c>
      <c r="C95" s="49">
        <v>100</v>
      </c>
    </row>
    <row r="96" spans="1:3" x14ac:dyDescent="0.45">
      <c r="A96" s="3"/>
      <c r="B96" s="35"/>
    </row>
    <row r="97" spans="1:3" x14ac:dyDescent="0.45">
      <c r="A97" s="3" t="s">
        <v>239</v>
      </c>
      <c r="B97" s="35"/>
      <c r="C97" s="38"/>
    </row>
    <row r="98" spans="1:3" x14ac:dyDescent="0.45">
      <c r="A98" s="3"/>
      <c r="B98" s="35"/>
    </row>
    <row r="99" spans="1:3" x14ac:dyDescent="0.45">
      <c r="A99" s="3"/>
      <c r="B99" s="35"/>
    </row>
    <row r="100" spans="1:3" x14ac:dyDescent="0.45">
      <c r="A100" s="3"/>
      <c r="B100" s="35"/>
    </row>
    <row r="101" spans="1:3" x14ac:dyDescent="0.45">
      <c r="A101" s="3"/>
      <c r="B101" s="35"/>
    </row>
    <row r="102" spans="1:3" x14ac:dyDescent="0.45">
      <c r="A102" s="3"/>
      <c r="B102" s="35"/>
    </row>
    <row r="103" spans="1:3" x14ac:dyDescent="0.45">
      <c r="A103" s="3"/>
      <c r="B103" s="35"/>
    </row>
    <row r="104" spans="1:3" x14ac:dyDescent="0.45">
      <c r="A104" s="3"/>
      <c r="B104" s="35"/>
    </row>
    <row r="105" spans="1:3" x14ac:dyDescent="0.45">
      <c r="A105" s="3"/>
      <c r="B105" s="35"/>
    </row>
    <row r="106" spans="1:3" x14ac:dyDescent="0.45">
      <c r="A106" s="3"/>
      <c r="B106" s="35"/>
    </row>
    <row r="107" spans="1:3" x14ac:dyDescent="0.45">
      <c r="A107" s="3"/>
      <c r="B107" s="35"/>
    </row>
    <row r="108" spans="1:3" x14ac:dyDescent="0.45">
      <c r="A108" s="3"/>
      <c r="B108" s="35"/>
    </row>
    <row r="109" spans="1:3" x14ac:dyDescent="0.45">
      <c r="A109" s="3"/>
      <c r="B109" s="35"/>
    </row>
    <row r="110" spans="1:3" x14ac:dyDescent="0.45">
      <c r="A110" s="3"/>
      <c r="B110" s="35"/>
    </row>
    <row r="111" spans="1:3" x14ac:dyDescent="0.45">
      <c r="A111" s="3"/>
      <c r="B111" s="35"/>
    </row>
    <row r="112" spans="1:3" x14ac:dyDescent="0.45">
      <c r="A112" s="3"/>
      <c r="B112" s="35"/>
    </row>
    <row r="113" spans="1:2" x14ac:dyDescent="0.45">
      <c r="A113" s="3"/>
      <c r="B113" s="35"/>
    </row>
    <row r="114" spans="1:2" x14ac:dyDescent="0.45">
      <c r="A114" s="3"/>
      <c r="B114" s="35"/>
    </row>
    <row r="115" spans="1:2" x14ac:dyDescent="0.45">
      <c r="A115" s="3"/>
      <c r="B115" s="35"/>
    </row>
    <row r="116" spans="1:2" x14ac:dyDescent="0.45">
      <c r="A116" s="3"/>
      <c r="B116" s="35"/>
    </row>
    <row r="117" spans="1:2" x14ac:dyDescent="0.45">
      <c r="A117" s="3"/>
      <c r="B117" s="35"/>
    </row>
    <row r="118" spans="1:2" x14ac:dyDescent="0.45">
      <c r="A118" s="3"/>
      <c r="B118" s="35"/>
    </row>
    <row r="119" spans="1:2" x14ac:dyDescent="0.45">
      <c r="A119" s="3"/>
      <c r="B119" s="35"/>
    </row>
    <row r="120" spans="1:2" x14ac:dyDescent="0.45">
      <c r="A120" s="3"/>
      <c r="B120" s="35"/>
    </row>
    <row r="121" spans="1:2" x14ac:dyDescent="0.45">
      <c r="A121" s="3"/>
      <c r="B121" s="35"/>
    </row>
    <row r="122" spans="1:2" x14ac:dyDescent="0.45">
      <c r="A122" s="3"/>
      <c r="B122" s="35"/>
    </row>
    <row r="123" spans="1:2" x14ac:dyDescent="0.45">
      <c r="A123" s="3"/>
      <c r="B123" s="35"/>
    </row>
    <row r="124" spans="1:2" x14ac:dyDescent="0.45">
      <c r="A124" s="3"/>
      <c r="B124" s="35"/>
    </row>
    <row r="125" spans="1:2" x14ac:dyDescent="0.45">
      <c r="A125" s="3"/>
      <c r="B125" s="35"/>
    </row>
    <row r="126" spans="1:2" x14ac:dyDescent="0.45">
      <c r="A126" s="3"/>
      <c r="B126" s="35"/>
    </row>
    <row r="127" spans="1:2" x14ac:dyDescent="0.45">
      <c r="A127" s="3"/>
      <c r="B127" s="35"/>
    </row>
    <row r="128" spans="1:2" x14ac:dyDescent="0.45">
      <c r="A128" s="3"/>
      <c r="B128" s="35"/>
    </row>
    <row r="129" spans="1:2" x14ac:dyDescent="0.45">
      <c r="A129" s="3"/>
      <c r="B129" s="35"/>
    </row>
    <row r="130" spans="1:2" x14ac:dyDescent="0.45">
      <c r="A130" s="3"/>
      <c r="B130" s="35"/>
    </row>
    <row r="131" spans="1:2" x14ac:dyDescent="0.45">
      <c r="A131" s="3"/>
      <c r="B131" s="35"/>
    </row>
    <row r="132" spans="1:2" x14ac:dyDescent="0.45">
      <c r="A132" s="3"/>
      <c r="B132" s="35"/>
    </row>
    <row r="133" spans="1:2" x14ac:dyDescent="0.45">
      <c r="A133" s="3"/>
      <c r="B133" s="35"/>
    </row>
    <row r="134" spans="1:2" x14ac:dyDescent="0.45">
      <c r="A134" s="3"/>
      <c r="B134" s="35"/>
    </row>
    <row r="135" spans="1:2" x14ac:dyDescent="0.45">
      <c r="A135" s="3"/>
      <c r="B135" s="35"/>
    </row>
    <row r="136" spans="1:2" x14ac:dyDescent="0.45">
      <c r="A136" s="3"/>
      <c r="B136" s="35"/>
    </row>
    <row r="137" spans="1:2" x14ac:dyDescent="0.45">
      <c r="A137" s="3"/>
      <c r="B137" s="35"/>
    </row>
    <row r="138" spans="1:2" x14ac:dyDescent="0.45">
      <c r="A138" s="3"/>
      <c r="B138" s="35"/>
    </row>
    <row r="139" spans="1:2" x14ac:dyDescent="0.45">
      <c r="A139" s="3"/>
      <c r="B139" s="35"/>
    </row>
    <row r="140" spans="1:2" x14ac:dyDescent="0.45">
      <c r="A140" s="3"/>
      <c r="B140" s="35"/>
    </row>
    <row r="141" spans="1:2" x14ac:dyDescent="0.45">
      <c r="A141" s="3"/>
      <c r="B141" s="35"/>
    </row>
    <row r="142" spans="1:2" x14ac:dyDescent="0.45">
      <c r="A142" s="3"/>
      <c r="B142" s="35"/>
    </row>
    <row r="143" spans="1:2" x14ac:dyDescent="0.45">
      <c r="A143" s="3"/>
      <c r="B143" s="35"/>
    </row>
    <row r="144" spans="1:2" x14ac:dyDescent="0.45">
      <c r="A144" s="3"/>
      <c r="B144" s="35"/>
    </row>
    <row r="145" spans="1:2" x14ac:dyDescent="0.45">
      <c r="A145" s="3"/>
      <c r="B145" s="35"/>
    </row>
    <row r="146" spans="1:2" x14ac:dyDescent="0.45">
      <c r="A146" s="3"/>
      <c r="B146" s="35"/>
    </row>
    <row r="147" spans="1:2" x14ac:dyDescent="0.45">
      <c r="A147" s="3"/>
      <c r="B147" s="35"/>
    </row>
    <row r="148" spans="1:2" x14ac:dyDescent="0.45">
      <c r="A148" s="3"/>
      <c r="B148" s="35"/>
    </row>
    <row r="149" spans="1:2" x14ac:dyDescent="0.45">
      <c r="A149" s="3"/>
      <c r="B149" s="35"/>
    </row>
    <row r="150" spans="1:2" x14ac:dyDescent="0.45">
      <c r="A150" s="3"/>
      <c r="B150" s="35"/>
    </row>
    <row r="151" spans="1:2" x14ac:dyDescent="0.45">
      <c r="A151" s="3"/>
      <c r="B151" s="35"/>
    </row>
    <row r="152" spans="1:2" x14ac:dyDescent="0.45">
      <c r="A152" s="3"/>
      <c r="B152" s="35"/>
    </row>
    <row r="153" spans="1:2" x14ac:dyDescent="0.45">
      <c r="A153" s="3"/>
      <c r="B153" s="35"/>
    </row>
    <row r="154" spans="1:2" x14ac:dyDescent="0.45">
      <c r="A154" s="3"/>
      <c r="B154" s="35"/>
    </row>
    <row r="155" spans="1:2" x14ac:dyDescent="0.45">
      <c r="A155" s="3"/>
      <c r="B155" s="35"/>
    </row>
    <row r="156" spans="1:2" x14ac:dyDescent="0.45">
      <c r="A156" s="3"/>
      <c r="B156" s="35"/>
    </row>
    <row r="157" spans="1:2" x14ac:dyDescent="0.45">
      <c r="A157" s="3"/>
      <c r="B157" s="35"/>
    </row>
    <row r="158" spans="1:2" x14ac:dyDescent="0.45">
      <c r="A158" s="3"/>
      <c r="B158" s="35"/>
    </row>
    <row r="159" spans="1:2" x14ac:dyDescent="0.45">
      <c r="A159" s="3"/>
      <c r="B159" s="35"/>
    </row>
    <row r="160" spans="1:2" x14ac:dyDescent="0.45">
      <c r="A160" s="3"/>
      <c r="B160" s="35"/>
    </row>
    <row r="161" spans="1:2" x14ac:dyDescent="0.45">
      <c r="A161" s="3"/>
      <c r="B161" s="35"/>
    </row>
    <row r="162" spans="1:2" x14ac:dyDescent="0.45">
      <c r="A162" s="3"/>
      <c r="B162" s="35"/>
    </row>
    <row r="163" spans="1:2" x14ac:dyDescent="0.45">
      <c r="A163" s="3"/>
      <c r="B163" s="35"/>
    </row>
    <row r="164" spans="1:2" x14ac:dyDescent="0.45">
      <c r="A164" s="3"/>
      <c r="B164" s="35"/>
    </row>
    <row r="165" spans="1:2" x14ac:dyDescent="0.45">
      <c r="A165" s="3"/>
      <c r="B165" s="35"/>
    </row>
    <row r="166" spans="1:2" x14ac:dyDescent="0.45">
      <c r="A166" s="3"/>
      <c r="B166" s="35"/>
    </row>
    <row r="167" spans="1:2" x14ac:dyDescent="0.45">
      <c r="A167" s="3"/>
      <c r="B167" s="35"/>
    </row>
    <row r="168" spans="1:2" x14ac:dyDescent="0.45">
      <c r="A168" s="3"/>
      <c r="B168" s="35"/>
    </row>
    <row r="169" spans="1:2" x14ac:dyDescent="0.45">
      <c r="A169" s="3"/>
      <c r="B169" s="35"/>
    </row>
    <row r="170" spans="1:2" x14ac:dyDescent="0.45">
      <c r="A170" s="3"/>
      <c r="B170" s="35"/>
    </row>
    <row r="171" spans="1:2" x14ac:dyDescent="0.45">
      <c r="A171" s="3"/>
      <c r="B171" s="35"/>
    </row>
    <row r="172" spans="1:2" x14ac:dyDescent="0.45">
      <c r="A172" s="3"/>
      <c r="B172" s="35"/>
    </row>
    <row r="173" spans="1:2" x14ac:dyDescent="0.45">
      <c r="A173" s="3"/>
      <c r="B173" s="35"/>
    </row>
    <row r="174" spans="1:2" x14ac:dyDescent="0.45">
      <c r="A174" s="3"/>
      <c r="B174" s="35"/>
    </row>
    <row r="175" spans="1:2" x14ac:dyDescent="0.45">
      <c r="A175" s="3"/>
      <c r="B175" s="35"/>
    </row>
    <row r="176" spans="1:2" x14ac:dyDescent="0.45">
      <c r="A176" s="3"/>
      <c r="B176" s="35"/>
    </row>
    <row r="177" spans="1:2" x14ac:dyDescent="0.45">
      <c r="A177" s="3"/>
      <c r="B177" s="35"/>
    </row>
    <row r="178" spans="1:2" x14ac:dyDescent="0.45">
      <c r="A178" s="3"/>
      <c r="B178" s="35"/>
    </row>
    <row r="179" spans="1:2" x14ac:dyDescent="0.45">
      <c r="A179" s="3"/>
      <c r="B179" s="35"/>
    </row>
    <row r="180" spans="1:2" x14ac:dyDescent="0.45">
      <c r="A180" s="3"/>
      <c r="B180" s="35"/>
    </row>
    <row r="181" spans="1:2" x14ac:dyDescent="0.45">
      <c r="A181" s="3"/>
      <c r="B181" s="35"/>
    </row>
    <row r="182" spans="1:2" x14ac:dyDescent="0.45">
      <c r="A182" s="3"/>
      <c r="B182" s="35"/>
    </row>
    <row r="183" spans="1:2" x14ac:dyDescent="0.45">
      <c r="A183" s="3"/>
      <c r="B183" s="35"/>
    </row>
    <row r="184" spans="1:2" x14ac:dyDescent="0.45">
      <c r="A184" s="3"/>
      <c r="B184" s="35"/>
    </row>
    <row r="185" spans="1:2" x14ac:dyDescent="0.45">
      <c r="A185" s="3"/>
      <c r="B185" s="35"/>
    </row>
    <row r="186" spans="1:2" x14ac:dyDescent="0.45">
      <c r="A186" s="3"/>
      <c r="B186" s="35"/>
    </row>
    <row r="187" spans="1:2" x14ac:dyDescent="0.45">
      <c r="A187" s="3"/>
      <c r="B187" s="35"/>
    </row>
    <row r="188" spans="1:2" x14ac:dyDescent="0.45">
      <c r="A188" s="3"/>
      <c r="B188" s="35"/>
    </row>
    <row r="189" spans="1:2" x14ac:dyDescent="0.45">
      <c r="A189" s="3"/>
      <c r="B189" s="35"/>
    </row>
    <row r="190" spans="1:2" x14ac:dyDescent="0.45">
      <c r="A190" s="3"/>
      <c r="B190" s="35"/>
    </row>
    <row r="191" spans="1:2" x14ac:dyDescent="0.45">
      <c r="A191" s="3"/>
      <c r="B191" s="35"/>
    </row>
    <row r="192" spans="1:2" x14ac:dyDescent="0.45">
      <c r="A192" s="3"/>
      <c r="B192" s="35"/>
    </row>
    <row r="193" spans="1:2" x14ac:dyDescent="0.45">
      <c r="A193" s="3"/>
      <c r="B193" s="35"/>
    </row>
    <row r="194" spans="1:2" x14ac:dyDescent="0.45">
      <c r="A194" s="3"/>
      <c r="B194" s="35"/>
    </row>
    <row r="195" spans="1:2" x14ac:dyDescent="0.45">
      <c r="A195" s="3"/>
      <c r="B195" s="35"/>
    </row>
    <row r="196" spans="1:2" x14ac:dyDescent="0.45">
      <c r="A196" s="3"/>
      <c r="B196" s="35"/>
    </row>
    <row r="197" spans="1:2" x14ac:dyDescent="0.45">
      <c r="A197" s="3"/>
      <c r="B197" s="35"/>
    </row>
    <row r="198" spans="1:2" x14ac:dyDescent="0.45">
      <c r="A198" s="3"/>
      <c r="B198" s="35"/>
    </row>
    <row r="199" spans="1:2" x14ac:dyDescent="0.45">
      <c r="A199" s="3"/>
      <c r="B199" s="35"/>
    </row>
    <row r="200" spans="1:2" x14ac:dyDescent="0.45">
      <c r="A200" s="3"/>
      <c r="B200" s="35"/>
    </row>
    <row r="201" spans="1:2" x14ac:dyDescent="0.45">
      <c r="A201" s="3"/>
      <c r="B201" s="35"/>
    </row>
    <row r="202" spans="1:2" x14ac:dyDescent="0.45">
      <c r="A202" s="3"/>
      <c r="B202" s="35"/>
    </row>
    <row r="203" spans="1:2" x14ac:dyDescent="0.45">
      <c r="A203" s="3"/>
      <c r="B203" s="35"/>
    </row>
    <row r="204" spans="1:2" x14ac:dyDescent="0.45">
      <c r="A204" s="3"/>
      <c r="B204" s="35"/>
    </row>
    <row r="205" spans="1:2" x14ac:dyDescent="0.45">
      <c r="A205" s="3"/>
      <c r="B205" s="35"/>
    </row>
    <row r="206" spans="1:2" x14ac:dyDescent="0.45">
      <c r="A206" s="3"/>
      <c r="B206" s="35"/>
    </row>
    <row r="207" spans="1:2" x14ac:dyDescent="0.45">
      <c r="A207" s="3"/>
      <c r="B207" s="35"/>
    </row>
    <row r="208" spans="1:2" x14ac:dyDescent="0.45">
      <c r="A208" s="3"/>
      <c r="B208" s="3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FE0C-C418-4D54-9532-DCF67AEA7B8B}">
  <dimension ref="A1:P80"/>
  <sheetViews>
    <sheetView tabSelected="1" zoomScale="50" zoomScaleNormal="50" workbookViewId="0">
      <pane ySplit="1" topLeftCell="A2" activePane="bottomLeft" state="frozen"/>
      <selection pane="bottomLeft" activeCell="O85" sqref="O85"/>
    </sheetView>
  </sheetViews>
  <sheetFormatPr defaultRowHeight="17.5" x14ac:dyDescent="0.35"/>
  <cols>
    <col min="1" max="1" width="21.36328125" style="16" customWidth="1"/>
    <col min="2" max="2" width="28" style="16" customWidth="1"/>
    <col min="3" max="3" width="21.08984375" style="17" customWidth="1"/>
    <col min="4" max="4" width="11.26953125" style="17" customWidth="1"/>
    <col min="5" max="10" width="8.7265625" style="16"/>
    <col min="11" max="11" width="10.26953125" style="16" customWidth="1"/>
    <col min="12" max="15" width="8.7265625" style="16"/>
    <col min="16" max="16" width="22.453125" style="16" customWidth="1"/>
    <col min="17" max="16384" width="8.7265625" style="16"/>
  </cols>
  <sheetData>
    <row r="1" spans="1:16" s="61" customFormat="1" ht="18" x14ac:dyDescent="0.4">
      <c r="A1" s="53" t="s">
        <v>1</v>
      </c>
      <c r="B1" s="53" t="s">
        <v>0</v>
      </c>
      <c r="C1" s="58" t="s">
        <v>340</v>
      </c>
      <c r="D1" s="58" t="s">
        <v>365</v>
      </c>
      <c r="E1" s="59" t="s">
        <v>366</v>
      </c>
      <c r="F1" s="59" t="s">
        <v>137</v>
      </c>
      <c r="G1" s="59" t="s">
        <v>138</v>
      </c>
      <c r="H1" s="59" t="s">
        <v>139</v>
      </c>
      <c r="I1" s="59" t="s">
        <v>140</v>
      </c>
      <c r="J1" s="58" t="s">
        <v>3</v>
      </c>
      <c r="K1" s="58" t="s">
        <v>4</v>
      </c>
      <c r="L1" s="58" t="s">
        <v>367</v>
      </c>
      <c r="M1" s="58" t="s">
        <v>368</v>
      </c>
      <c r="N1" s="58" t="s">
        <v>369</v>
      </c>
      <c r="O1" s="58" t="s">
        <v>370</v>
      </c>
      <c r="P1" s="60" t="s">
        <v>371</v>
      </c>
    </row>
    <row r="2" spans="1:16" x14ac:dyDescent="0.35">
      <c r="A2" s="3" t="s">
        <v>181</v>
      </c>
      <c r="B2" s="3" t="s">
        <v>277</v>
      </c>
      <c r="C2" s="4">
        <v>30</v>
      </c>
      <c r="D2" s="4"/>
      <c r="E2" s="28"/>
      <c r="F2" s="28">
        <v>100</v>
      </c>
      <c r="G2" s="28"/>
      <c r="H2" s="28"/>
      <c r="I2" s="28"/>
      <c r="J2" s="28"/>
      <c r="K2" s="28"/>
      <c r="L2" s="28"/>
      <c r="M2" s="28"/>
      <c r="N2" s="28"/>
      <c r="O2" s="28"/>
      <c r="P2" s="28">
        <f xml:space="preserve"> 120 - SUM(D2:O2) + C2</f>
        <v>50</v>
      </c>
    </row>
    <row r="3" spans="1:16" x14ac:dyDescent="0.35">
      <c r="A3" s="3" t="s">
        <v>10</v>
      </c>
      <c r="B3" s="3" t="s">
        <v>9</v>
      </c>
      <c r="C3" s="4">
        <v>105</v>
      </c>
      <c r="D3" s="4"/>
      <c r="E3" s="28"/>
      <c r="F3" s="28"/>
      <c r="G3" s="28">
        <v>60</v>
      </c>
      <c r="H3" s="28"/>
      <c r="I3" s="28"/>
      <c r="J3" s="28"/>
      <c r="K3" s="28"/>
      <c r="L3" s="28"/>
      <c r="M3" s="28"/>
      <c r="N3" s="28"/>
      <c r="O3" s="28"/>
      <c r="P3" s="28">
        <f xml:space="preserve"> 60 - SUM(D3:O3) + C3</f>
        <v>105</v>
      </c>
    </row>
    <row r="4" spans="1:16" x14ac:dyDescent="0.35">
      <c r="A4" s="3" t="s">
        <v>10</v>
      </c>
      <c r="B4" s="3" t="s">
        <v>175</v>
      </c>
      <c r="C4" s="4">
        <v>210</v>
      </c>
      <c r="D4" s="4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>
        <f t="shared" ref="P3:P68" si="0" xml:space="preserve"> 120 - SUM(D4:O4) + C4</f>
        <v>330</v>
      </c>
    </row>
    <row r="5" spans="1:16" x14ac:dyDescent="0.35">
      <c r="A5" s="3" t="s">
        <v>16</v>
      </c>
      <c r="B5" s="3" t="s">
        <v>176</v>
      </c>
      <c r="C5" s="4">
        <v>0</v>
      </c>
      <c r="D5" s="4"/>
      <c r="E5" s="28"/>
      <c r="F5" s="28"/>
      <c r="G5" s="28"/>
      <c r="H5" s="28">
        <v>120</v>
      </c>
      <c r="I5" s="28"/>
      <c r="J5" s="28"/>
      <c r="K5" s="28"/>
      <c r="L5" s="28"/>
      <c r="M5" s="28"/>
      <c r="N5" s="28"/>
      <c r="O5" s="28"/>
      <c r="P5" s="28">
        <f t="shared" si="0"/>
        <v>0</v>
      </c>
    </row>
    <row r="6" spans="1:16" x14ac:dyDescent="0.35">
      <c r="A6" s="3" t="s">
        <v>179</v>
      </c>
      <c r="B6" s="3" t="s">
        <v>332</v>
      </c>
      <c r="C6" s="4">
        <v>110</v>
      </c>
      <c r="D6" s="4"/>
      <c r="E6" s="28"/>
      <c r="F6" s="28">
        <v>230</v>
      </c>
      <c r="G6" s="28"/>
      <c r="H6" s="28"/>
      <c r="I6" s="28"/>
      <c r="J6" s="28"/>
      <c r="K6" s="28"/>
      <c r="L6" s="28"/>
      <c r="M6" s="28"/>
      <c r="N6" s="28"/>
      <c r="O6" s="28"/>
      <c r="P6" s="28">
        <f t="shared" si="0"/>
        <v>0</v>
      </c>
    </row>
    <row r="7" spans="1:16" x14ac:dyDescent="0.35">
      <c r="A7" s="3" t="s">
        <v>214</v>
      </c>
      <c r="B7" s="3" t="s">
        <v>193</v>
      </c>
      <c r="C7" s="4">
        <v>110</v>
      </c>
      <c r="D7" s="4"/>
      <c r="E7" s="28"/>
      <c r="F7" s="28"/>
      <c r="G7" s="28"/>
      <c r="H7" s="28"/>
      <c r="I7" s="28">
        <v>120</v>
      </c>
      <c r="J7" s="28"/>
      <c r="K7" s="28"/>
      <c r="L7" s="28"/>
      <c r="M7" s="28"/>
      <c r="N7" s="28"/>
      <c r="O7" s="28"/>
      <c r="P7" s="28">
        <f t="shared" si="0"/>
        <v>110</v>
      </c>
    </row>
    <row r="8" spans="1:16" x14ac:dyDescent="0.35">
      <c r="A8" s="3" t="s">
        <v>214</v>
      </c>
      <c r="B8" s="3" t="s">
        <v>215</v>
      </c>
      <c r="C8" s="4">
        <v>0</v>
      </c>
      <c r="D8" s="4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>
        <f t="shared" si="0"/>
        <v>120</v>
      </c>
    </row>
    <row r="9" spans="1:16" x14ac:dyDescent="0.35">
      <c r="A9" s="3" t="s">
        <v>280</v>
      </c>
      <c r="B9" s="3" t="s">
        <v>281</v>
      </c>
      <c r="C9" s="4">
        <v>60</v>
      </c>
      <c r="D9" s="4"/>
      <c r="E9" s="28">
        <v>80</v>
      </c>
      <c r="F9" s="28"/>
      <c r="G9" s="28">
        <v>10</v>
      </c>
      <c r="H9" s="28"/>
      <c r="I9" s="28"/>
      <c r="J9" s="28"/>
      <c r="K9" s="28"/>
      <c r="L9" s="28"/>
      <c r="M9" s="28"/>
      <c r="N9" s="28"/>
      <c r="O9" s="28"/>
      <c r="P9" s="28">
        <f t="shared" si="0"/>
        <v>90</v>
      </c>
    </row>
    <row r="10" spans="1:16" x14ac:dyDescent="0.35">
      <c r="A10" s="26" t="s">
        <v>29</v>
      </c>
      <c r="B10" s="26" t="s">
        <v>218</v>
      </c>
      <c r="C10" s="4">
        <v>110</v>
      </c>
      <c r="D10" s="4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>
        <f t="shared" si="0"/>
        <v>230</v>
      </c>
    </row>
    <row r="11" spans="1:16" x14ac:dyDescent="0.35">
      <c r="A11" s="26" t="s">
        <v>362</v>
      </c>
      <c r="B11" s="26" t="s">
        <v>15</v>
      </c>
      <c r="C11" s="4"/>
      <c r="D11" s="4"/>
      <c r="E11" s="28"/>
      <c r="F11" s="28" t="s">
        <v>381</v>
      </c>
      <c r="G11" s="28">
        <v>50</v>
      </c>
      <c r="H11" s="28"/>
      <c r="I11" s="28"/>
      <c r="J11" s="28"/>
      <c r="K11" s="28"/>
      <c r="L11" s="28"/>
      <c r="M11" s="28"/>
      <c r="N11" s="28"/>
      <c r="O11" s="28"/>
      <c r="P11" s="28">
        <f xml:space="preserve"> 50 - SUM(D11:O11) + C11</f>
        <v>0</v>
      </c>
    </row>
    <row r="12" spans="1:16" x14ac:dyDescent="0.35">
      <c r="A12" s="3" t="s">
        <v>184</v>
      </c>
      <c r="B12" s="3" t="s">
        <v>183</v>
      </c>
      <c r="C12" s="4">
        <v>185</v>
      </c>
      <c r="D12" s="4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>
        <f xml:space="preserve"> 60 - SUM(D12:O12) + C12</f>
        <v>245</v>
      </c>
    </row>
    <row r="13" spans="1:16" x14ac:dyDescent="0.35">
      <c r="A13" s="3" t="s">
        <v>282</v>
      </c>
      <c r="B13" s="3" t="s">
        <v>283</v>
      </c>
      <c r="C13" s="4">
        <v>190</v>
      </c>
      <c r="D13" s="4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>
        <f t="shared" si="0"/>
        <v>310</v>
      </c>
    </row>
    <row r="14" spans="1:16" x14ac:dyDescent="0.35">
      <c r="A14" s="3" t="s">
        <v>352</v>
      </c>
      <c r="B14" s="3" t="s">
        <v>305</v>
      </c>
      <c r="C14" s="4">
        <v>30</v>
      </c>
      <c r="D14" s="4"/>
      <c r="E14" s="28">
        <v>60</v>
      </c>
      <c r="F14" s="28">
        <v>30</v>
      </c>
      <c r="G14" s="28"/>
      <c r="H14" s="28"/>
      <c r="I14" s="28"/>
      <c r="J14" s="28"/>
      <c r="K14" s="28"/>
      <c r="L14" s="28"/>
      <c r="M14" s="28"/>
      <c r="N14" s="28"/>
      <c r="O14" s="28"/>
      <c r="P14" s="28">
        <f xml:space="preserve"> 120 - SUM(D14:O14) + C14</f>
        <v>60</v>
      </c>
    </row>
    <row r="15" spans="1:16" x14ac:dyDescent="0.35">
      <c r="A15" s="3" t="s">
        <v>384</v>
      </c>
      <c r="B15" s="3" t="s">
        <v>385</v>
      </c>
      <c r="C15" s="4"/>
      <c r="D15" s="4"/>
      <c r="E15" s="28"/>
      <c r="F15" s="28"/>
      <c r="G15" s="28"/>
      <c r="H15" s="28" t="s">
        <v>380</v>
      </c>
      <c r="I15" s="28"/>
      <c r="J15" s="28"/>
      <c r="K15" s="28"/>
      <c r="L15" s="28"/>
      <c r="M15" s="28"/>
      <c r="N15" s="28"/>
      <c r="O15" s="28"/>
      <c r="P15" s="28">
        <f xml:space="preserve"> 60 - SUM(D15:O15) + C15</f>
        <v>60</v>
      </c>
    </row>
    <row r="16" spans="1:16" x14ac:dyDescent="0.35">
      <c r="A16" s="3" t="s">
        <v>375</v>
      </c>
      <c r="B16" s="3" t="s">
        <v>376</v>
      </c>
      <c r="C16" s="4"/>
      <c r="D16" s="4"/>
      <c r="E16" s="28"/>
      <c r="F16" s="28"/>
      <c r="G16" s="28"/>
      <c r="H16" s="28" t="s">
        <v>377</v>
      </c>
      <c r="I16" s="28">
        <v>10</v>
      </c>
      <c r="J16" s="28"/>
      <c r="K16" s="28"/>
      <c r="L16" s="28"/>
      <c r="M16" s="28"/>
      <c r="N16" s="28"/>
      <c r="O16" s="28"/>
      <c r="P16" s="28">
        <f xml:space="preserve"> 70 - SUM(D16:O16) + C16</f>
        <v>60</v>
      </c>
    </row>
    <row r="17" spans="1:16" x14ac:dyDescent="0.35">
      <c r="A17" s="3" t="s">
        <v>147</v>
      </c>
      <c r="B17" s="3" t="s">
        <v>219</v>
      </c>
      <c r="C17" s="4">
        <v>-80</v>
      </c>
      <c r="D17" s="4">
        <v>10</v>
      </c>
      <c r="E17" s="28">
        <v>10</v>
      </c>
      <c r="F17" s="28">
        <v>10</v>
      </c>
      <c r="G17" s="28">
        <v>10</v>
      </c>
      <c r="H17" s="28">
        <v>10</v>
      </c>
      <c r="I17" s="28">
        <v>10</v>
      </c>
      <c r="J17" s="28"/>
      <c r="K17" s="28"/>
      <c r="L17" s="28"/>
      <c r="M17" s="28"/>
      <c r="N17" s="28"/>
      <c r="O17" s="28"/>
      <c r="P17" s="28">
        <f t="shared" si="0"/>
        <v>-20</v>
      </c>
    </row>
    <row r="18" spans="1:16" x14ac:dyDescent="0.35">
      <c r="A18" s="56" t="s">
        <v>147</v>
      </c>
      <c r="B18" s="56" t="s">
        <v>178</v>
      </c>
      <c r="C18" s="4">
        <v>95</v>
      </c>
      <c r="D18" s="4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>
        <f t="shared" si="0"/>
        <v>215</v>
      </c>
    </row>
    <row r="19" spans="1:16" x14ac:dyDescent="0.35">
      <c r="A19" s="3" t="s">
        <v>348</v>
      </c>
      <c r="B19" s="3" t="s">
        <v>349</v>
      </c>
      <c r="C19" s="4">
        <v>0</v>
      </c>
      <c r="D19" s="4">
        <v>5</v>
      </c>
      <c r="E19" s="28">
        <v>5</v>
      </c>
      <c r="F19" s="28">
        <v>5</v>
      </c>
      <c r="G19" s="28">
        <v>5</v>
      </c>
      <c r="H19" s="28">
        <v>5</v>
      </c>
      <c r="I19" s="28">
        <v>5</v>
      </c>
      <c r="J19" s="28"/>
      <c r="K19" s="28"/>
      <c r="L19" s="28"/>
      <c r="M19" s="28"/>
      <c r="N19" s="28"/>
      <c r="O19" s="28"/>
      <c r="P19" s="28">
        <f t="shared" si="0"/>
        <v>90</v>
      </c>
    </row>
    <row r="20" spans="1:16" x14ac:dyDescent="0.35">
      <c r="A20" s="3" t="s">
        <v>324</v>
      </c>
      <c r="B20" s="3" t="s">
        <v>325</v>
      </c>
      <c r="C20" s="4">
        <v>55</v>
      </c>
      <c r="D20" s="4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>
        <f t="shared" si="0"/>
        <v>175</v>
      </c>
    </row>
    <row r="21" spans="1:16" x14ac:dyDescent="0.35">
      <c r="A21" s="3" t="s">
        <v>360</v>
      </c>
      <c r="B21" s="3" t="s">
        <v>361</v>
      </c>
      <c r="C21" s="4">
        <v>0</v>
      </c>
      <c r="D21" s="4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>
        <f xml:space="preserve"> 60 - SUM(D21:O21) + C21</f>
        <v>60</v>
      </c>
    </row>
    <row r="22" spans="1:16" x14ac:dyDescent="0.35">
      <c r="A22" s="3" t="s">
        <v>373</v>
      </c>
      <c r="B22" s="3" t="s">
        <v>241</v>
      </c>
      <c r="C22" s="4"/>
      <c r="D22" s="4"/>
      <c r="E22" s="28"/>
      <c r="F22" s="28"/>
      <c r="G22" s="28"/>
      <c r="H22" s="28" t="s">
        <v>374</v>
      </c>
      <c r="I22" s="28">
        <v>5</v>
      </c>
      <c r="J22" s="28"/>
      <c r="K22" s="28"/>
      <c r="L22" s="28"/>
      <c r="M22" s="28"/>
      <c r="N22" s="28"/>
      <c r="O22" s="28"/>
      <c r="P22" s="28">
        <f xml:space="preserve"> 60 - SUM(D22:O22) + C22</f>
        <v>55</v>
      </c>
    </row>
    <row r="23" spans="1:16" x14ac:dyDescent="0.35">
      <c r="A23" s="3" t="s">
        <v>44</v>
      </c>
      <c r="B23" s="3" t="s">
        <v>43</v>
      </c>
      <c r="C23" s="4">
        <v>-5</v>
      </c>
      <c r="D23" s="4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>
        <f t="shared" si="0"/>
        <v>115</v>
      </c>
    </row>
    <row r="24" spans="1:16" x14ac:dyDescent="0.35">
      <c r="A24" s="3" t="s">
        <v>47</v>
      </c>
      <c r="B24" s="3" t="s">
        <v>143</v>
      </c>
      <c r="C24" s="4">
        <v>-60</v>
      </c>
      <c r="D24" s="4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>
        <f xml:space="preserve"> 60 - SUM(D24:O24) + C24</f>
        <v>0</v>
      </c>
    </row>
    <row r="25" spans="1:16" x14ac:dyDescent="0.35">
      <c r="A25" s="3" t="s">
        <v>49</v>
      </c>
      <c r="B25" s="3" t="s">
        <v>186</v>
      </c>
      <c r="C25" s="4">
        <v>-10</v>
      </c>
      <c r="D25" s="4"/>
      <c r="E25" s="28">
        <v>100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>
        <f t="shared" si="0"/>
        <v>10</v>
      </c>
    </row>
    <row r="26" spans="1:16" x14ac:dyDescent="0.35">
      <c r="A26" s="3" t="s">
        <v>295</v>
      </c>
      <c r="B26" s="3" t="s">
        <v>115</v>
      </c>
      <c r="C26" s="4">
        <v>55</v>
      </c>
      <c r="D26" s="4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>
        <f xml:space="preserve"> 60 - SUM(D26:O26) + C26</f>
        <v>115</v>
      </c>
    </row>
    <row r="27" spans="1:16" x14ac:dyDescent="0.35">
      <c r="A27" s="3" t="s">
        <v>284</v>
      </c>
      <c r="B27" s="3" t="s">
        <v>285</v>
      </c>
      <c r="C27" s="4">
        <v>0</v>
      </c>
      <c r="D27" s="4"/>
      <c r="E27" s="28"/>
      <c r="F27" s="28"/>
      <c r="G27" s="28"/>
      <c r="H27" s="28">
        <v>20</v>
      </c>
      <c r="I27" s="28"/>
      <c r="J27" s="28"/>
      <c r="K27" s="28"/>
      <c r="L27" s="28"/>
      <c r="M27" s="28"/>
      <c r="N27" s="28"/>
      <c r="O27" s="28"/>
      <c r="P27" s="28">
        <f t="shared" si="0"/>
        <v>100</v>
      </c>
    </row>
    <row r="28" spans="1:16" x14ac:dyDescent="0.35">
      <c r="A28" s="3" t="s">
        <v>188</v>
      </c>
      <c r="B28" s="3" t="s">
        <v>286</v>
      </c>
      <c r="C28" s="4">
        <v>110</v>
      </c>
      <c r="D28" s="4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>
        <f t="shared" si="0"/>
        <v>230</v>
      </c>
    </row>
    <row r="29" spans="1:16" x14ac:dyDescent="0.35">
      <c r="A29" s="3" t="s">
        <v>54</v>
      </c>
      <c r="B29" s="3" t="s">
        <v>53</v>
      </c>
      <c r="C29" s="4">
        <v>123</v>
      </c>
      <c r="D29" s="4"/>
      <c r="E29" s="28"/>
      <c r="F29" s="28"/>
      <c r="G29" s="28"/>
      <c r="H29" s="28">
        <v>110</v>
      </c>
      <c r="I29" s="28"/>
      <c r="J29" s="28"/>
      <c r="K29" s="28"/>
      <c r="L29" s="28"/>
      <c r="M29" s="28"/>
      <c r="N29" s="28"/>
      <c r="O29" s="28"/>
      <c r="P29" s="28">
        <f t="shared" si="0"/>
        <v>133</v>
      </c>
    </row>
    <row r="30" spans="1:16" x14ac:dyDescent="0.35">
      <c r="A30" s="3" t="s">
        <v>151</v>
      </c>
      <c r="B30" s="3" t="s">
        <v>287</v>
      </c>
      <c r="C30" s="4">
        <v>0</v>
      </c>
      <c r="D30" s="4"/>
      <c r="E30" s="28">
        <v>40</v>
      </c>
      <c r="F30" s="28">
        <v>15.99</v>
      </c>
      <c r="G30" s="28"/>
      <c r="H30" s="28">
        <v>15.99</v>
      </c>
      <c r="I30" s="28">
        <v>15.99</v>
      </c>
      <c r="J30" s="28"/>
      <c r="K30" s="28"/>
      <c r="L30" s="28"/>
      <c r="M30" s="28"/>
      <c r="N30" s="28"/>
      <c r="O30" s="28"/>
      <c r="P30" s="28">
        <f t="shared" si="0"/>
        <v>32.03</v>
      </c>
    </row>
    <row r="31" spans="1:16" x14ac:dyDescent="0.35">
      <c r="A31" s="3" t="s">
        <v>296</v>
      </c>
      <c r="B31" s="3" t="s">
        <v>297</v>
      </c>
      <c r="C31" s="4">
        <v>90</v>
      </c>
      <c r="D31" s="4"/>
      <c r="E31" s="28"/>
      <c r="F31" s="28">
        <v>105</v>
      </c>
      <c r="G31" s="28"/>
      <c r="H31" s="28"/>
      <c r="I31" s="28"/>
      <c r="J31" s="28"/>
      <c r="K31" s="28"/>
      <c r="L31" s="28"/>
      <c r="M31" s="28"/>
      <c r="N31" s="28"/>
      <c r="O31" s="28"/>
      <c r="P31" s="28">
        <f t="shared" si="0"/>
        <v>105</v>
      </c>
    </row>
    <row r="32" spans="1:16" x14ac:dyDescent="0.35">
      <c r="A32" s="3" t="s">
        <v>298</v>
      </c>
      <c r="B32" s="3" t="s">
        <v>386</v>
      </c>
      <c r="C32" s="4">
        <v>160</v>
      </c>
      <c r="D32" s="4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>
        <f xml:space="preserve"> 60 - SUM(D32:O32) + C32</f>
        <v>220</v>
      </c>
    </row>
    <row r="33" spans="1:16" x14ac:dyDescent="0.35">
      <c r="A33" s="3" t="s">
        <v>57</v>
      </c>
      <c r="B33" s="3" t="s">
        <v>191</v>
      </c>
      <c r="C33" s="4">
        <v>80</v>
      </c>
      <c r="D33" s="4"/>
      <c r="E33" s="28"/>
      <c r="F33" s="28">
        <v>200</v>
      </c>
      <c r="G33" s="28"/>
      <c r="H33" s="28"/>
      <c r="I33" s="28"/>
      <c r="J33" s="28"/>
      <c r="K33" s="28"/>
      <c r="L33" s="28"/>
      <c r="M33" s="28"/>
      <c r="N33" s="28"/>
      <c r="O33" s="28"/>
      <c r="P33" s="28">
        <f t="shared" si="0"/>
        <v>0</v>
      </c>
    </row>
    <row r="34" spans="1:16" x14ac:dyDescent="0.35">
      <c r="A34" s="3" t="s">
        <v>321</v>
      </c>
      <c r="B34" s="3" t="s">
        <v>322</v>
      </c>
      <c r="C34" s="4">
        <v>0</v>
      </c>
      <c r="D34" s="4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>
        <f t="shared" si="0"/>
        <v>120</v>
      </c>
    </row>
    <row r="35" spans="1:16" x14ac:dyDescent="0.35">
      <c r="A35" s="3" t="s">
        <v>62</v>
      </c>
      <c r="B35" s="3" t="s">
        <v>192</v>
      </c>
      <c r="C35" s="4">
        <v>60</v>
      </c>
      <c r="D35" s="4"/>
      <c r="E35" s="28"/>
      <c r="F35" s="28">
        <v>80</v>
      </c>
      <c r="G35" s="28"/>
      <c r="H35" s="28">
        <v>60</v>
      </c>
      <c r="I35" s="28"/>
      <c r="J35" s="28"/>
      <c r="K35" s="28"/>
      <c r="L35" s="28"/>
      <c r="M35" s="28"/>
      <c r="N35" s="28"/>
      <c r="O35" s="28"/>
      <c r="P35" s="28">
        <f t="shared" si="0"/>
        <v>40</v>
      </c>
    </row>
    <row r="36" spans="1:16" x14ac:dyDescent="0.35">
      <c r="A36" s="3" t="s">
        <v>69</v>
      </c>
      <c r="B36" s="3" t="s">
        <v>363</v>
      </c>
      <c r="C36" s="4"/>
      <c r="D36" s="4"/>
      <c r="E36" s="28"/>
      <c r="F36" s="28"/>
      <c r="G36" s="28" t="s">
        <v>383</v>
      </c>
      <c r="H36" s="28">
        <v>20</v>
      </c>
      <c r="I36" s="28"/>
      <c r="J36" s="28"/>
      <c r="K36" s="28"/>
      <c r="L36" s="28"/>
      <c r="M36" s="28"/>
      <c r="N36" s="28"/>
      <c r="O36" s="28"/>
      <c r="P36" s="28">
        <f t="shared" si="0"/>
        <v>100</v>
      </c>
    </row>
    <row r="37" spans="1:16" x14ac:dyDescent="0.35">
      <c r="A37" s="3" t="s">
        <v>69</v>
      </c>
      <c r="B37" s="3" t="s">
        <v>305</v>
      </c>
      <c r="C37" s="4">
        <v>0</v>
      </c>
      <c r="D37" s="4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>
        <f xml:space="preserve"> 60 - SUM(D37:O37) + C37</f>
        <v>60</v>
      </c>
    </row>
    <row r="38" spans="1:16" x14ac:dyDescent="0.35">
      <c r="A38" s="3" t="s">
        <v>69</v>
      </c>
      <c r="B38" s="3" t="s">
        <v>70</v>
      </c>
      <c r="C38" s="4">
        <v>170</v>
      </c>
      <c r="D38" s="4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>
        <f t="shared" si="0"/>
        <v>290</v>
      </c>
    </row>
    <row r="39" spans="1:16" x14ac:dyDescent="0.35">
      <c r="A39" s="3" t="s">
        <v>69</v>
      </c>
      <c r="B39" s="3" t="s">
        <v>246</v>
      </c>
      <c r="C39" s="4">
        <v>0</v>
      </c>
      <c r="D39" s="4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>
        <f t="shared" si="0"/>
        <v>120</v>
      </c>
    </row>
    <row r="40" spans="1:16" x14ac:dyDescent="0.35">
      <c r="A40" s="3" t="s">
        <v>69</v>
      </c>
      <c r="B40" s="3" t="s">
        <v>72</v>
      </c>
      <c r="C40" s="4">
        <v>125</v>
      </c>
      <c r="D40" s="4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>
        <f xml:space="preserve"> 60 - SUM(D40:O40) + C40</f>
        <v>185</v>
      </c>
    </row>
    <row r="41" spans="1:16" x14ac:dyDescent="0.35">
      <c r="A41" s="3" t="s">
        <v>69</v>
      </c>
      <c r="B41" s="3" t="s">
        <v>62</v>
      </c>
      <c r="C41" s="4"/>
      <c r="D41" s="4"/>
      <c r="E41" s="28"/>
      <c r="F41" s="28"/>
      <c r="G41" s="28"/>
      <c r="H41" s="28" t="s">
        <v>380</v>
      </c>
      <c r="I41" s="28"/>
      <c r="J41" s="28"/>
      <c r="K41" s="28"/>
      <c r="L41" s="28"/>
      <c r="M41" s="28"/>
      <c r="N41" s="28"/>
      <c r="O41" s="28"/>
      <c r="P41" s="28">
        <f xml:space="preserve"> 60 - SUM(D41:O41) + C41</f>
        <v>60</v>
      </c>
    </row>
    <row r="42" spans="1:16" x14ac:dyDescent="0.35">
      <c r="A42" s="3" t="s">
        <v>69</v>
      </c>
      <c r="B42" s="3" t="s">
        <v>77</v>
      </c>
      <c r="C42" s="4">
        <v>105</v>
      </c>
      <c r="D42" s="4"/>
      <c r="E42" s="28"/>
      <c r="F42" s="28">
        <v>165</v>
      </c>
      <c r="G42" s="28"/>
      <c r="H42" s="28"/>
      <c r="I42" s="28"/>
      <c r="J42" s="28"/>
      <c r="K42" s="28"/>
      <c r="L42" s="28"/>
      <c r="M42" s="28"/>
      <c r="N42" s="28"/>
      <c r="O42" s="28"/>
      <c r="P42" s="28">
        <f xml:space="preserve"> 60 - SUM(D42:O42) + C42</f>
        <v>0</v>
      </c>
    </row>
    <row r="43" spans="1:16" x14ac:dyDescent="0.35">
      <c r="A43" s="3" t="s">
        <v>69</v>
      </c>
      <c r="B43" s="3" t="s">
        <v>353</v>
      </c>
      <c r="C43" s="4">
        <v>40</v>
      </c>
      <c r="D43" s="4"/>
      <c r="E43" s="28"/>
      <c r="F43" s="28">
        <v>40</v>
      </c>
      <c r="G43" s="28"/>
      <c r="H43" s="28"/>
      <c r="I43" s="28"/>
      <c r="J43" s="28"/>
      <c r="K43" s="28"/>
      <c r="L43" s="28"/>
      <c r="M43" s="28"/>
      <c r="N43" s="28"/>
      <c r="O43" s="28"/>
      <c r="P43" s="28">
        <f t="shared" si="0"/>
        <v>120</v>
      </c>
    </row>
    <row r="44" spans="1:16" x14ac:dyDescent="0.35">
      <c r="A44" s="3" t="s">
        <v>81</v>
      </c>
      <c r="B44" s="3" t="s">
        <v>195</v>
      </c>
      <c r="C44" s="4">
        <v>70</v>
      </c>
      <c r="D44" s="4"/>
      <c r="E44" s="28"/>
      <c r="F44" s="28"/>
      <c r="G44" s="28">
        <v>70</v>
      </c>
      <c r="H44" s="28"/>
      <c r="I44" s="28"/>
      <c r="J44" s="28"/>
      <c r="K44" s="28"/>
      <c r="L44" s="28"/>
      <c r="M44" s="28"/>
      <c r="N44" s="28"/>
      <c r="O44" s="28"/>
      <c r="P44" s="28">
        <f t="shared" si="0"/>
        <v>120</v>
      </c>
    </row>
    <row r="45" spans="1:16" x14ac:dyDescent="0.35">
      <c r="A45" s="3" t="s">
        <v>288</v>
      </c>
      <c r="B45" s="3" t="s">
        <v>289</v>
      </c>
      <c r="C45" s="4">
        <v>210</v>
      </c>
      <c r="D45" s="4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>
        <f t="shared" si="0"/>
        <v>330</v>
      </c>
    </row>
    <row r="46" spans="1:16" x14ac:dyDescent="0.35">
      <c r="A46" s="3" t="s">
        <v>334</v>
      </c>
      <c r="B46" s="3" t="s">
        <v>115</v>
      </c>
      <c r="C46" s="4">
        <v>185</v>
      </c>
      <c r="D46" s="4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>
        <f xml:space="preserve"> 60 - SUM(D46:O46) + C46</f>
        <v>245</v>
      </c>
    </row>
    <row r="47" spans="1:16" x14ac:dyDescent="0.35">
      <c r="A47" s="3" t="s">
        <v>157</v>
      </c>
      <c r="B47" s="3" t="s">
        <v>196</v>
      </c>
      <c r="C47" s="4">
        <v>80</v>
      </c>
      <c r="D47" s="4"/>
      <c r="E47" s="28"/>
      <c r="F47" s="28"/>
      <c r="G47" s="28">
        <v>40</v>
      </c>
      <c r="H47" s="28"/>
      <c r="I47" s="28"/>
      <c r="J47" s="28"/>
      <c r="K47" s="28"/>
      <c r="L47" s="28"/>
      <c r="M47" s="28"/>
      <c r="N47" s="28"/>
      <c r="O47" s="28"/>
      <c r="P47" s="28">
        <f t="shared" si="0"/>
        <v>160</v>
      </c>
    </row>
    <row r="48" spans="1:16" x14ac:dyDescent="0.35">
      <c r="A48" s="3" t="s">
        <v>161</v>
      </c>
      <c r="B48" s="3" t="s">
        <v>290</v>
      </c>
      <c r="C48" s="4">
        <v>20</v>
      </c>
      <c r="D48" s="4"/>
      <c r="E48" s="28"/>
      <c r="F48" s="28"/>
      <c r="G48" s="28">
        <v>13</v>
      </c>
      <c r="H48" s="28"/>
      <c r="I48" s="28"/>
      <c r="J48" s="28"/>
      <c r="K48" s="28"/>
      <c r="L48" s="28"/>
      <c r="M48" s="28"/>
      <c r="N48" s="28"/>
      <c r="O48" s="28"/>
      <c r="P48" s="28">
        <f t="shared" si="0"/>
        <v>127</v>
      </c>
    </row>
    <row r="49" spans="1:16" x14ac:dyDescent="0.35">
      <c r="A49" s="3" t="s">
        <v>84</v>
      </c>
      <c r="B49" s="3" t="s">
        <v>198</v>
      </c>
      <c r="C49" s="4">
        <v>110</v>
      </c>
      <c r="D49" s="4"/>
      <c r="E49" s="28"/>
      <c r="F49" s="28">
        <v>150</v>
      </c>
      <c r="G49" s="28"/>
      <c r="H49" s="28"/>
      <c r="I49" s="28"/>
      <c r="J49" s="28"/>
      <c r="K49" s="28"/>
      <c r="L49" s="28"/>
      <c r="M49" s="28"/>
      <c r="N49" s="28"/>
      <c r="O49" s="28"/>
      <c r="P49" s="28">
        <f t="shared" si="0"/>
        <v>80</v>
      </c>
    </row>
    <row r="50" spans="1:16" x14ac:dyDescent="0.35">
      <c r="A50" s="3" t="s">
        <v>358</v>
      </c>
      <c r="B50" s="3" t="s">
        <v>348</v>
      </c>
      <c r="C50" s="4"/>
      <c r="D50" s="4"/>
      <c r="E50" s="28" t="s">
        <v>380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>
        <f t="shared" si="0"/>
        <v>120</v>
      </c>
    </row>
    <row r="51" spans="1:16" x14ac:dyDescent="0.35">
      <c r="A51" s="3" t="s">
        <v>199</v>
      </c>
      <c r="B51" s="3" t="s">
        <v>36</v>
      </c>
      <c r="C51" s="4">
        <v>5</v>
      </c>
      <c r="D51" s="4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>
        <f xml:space="preserve"> 60 - SUM(D51:O51) + C51</f>
        <v>65</v>
      </c>
    </row>
    <row r="52" spans="1:16" x14ac:dyDescent="0.35">
      <c r="A52" s="3" t="s">
        <v>225</v>
      </c>
      <c r="B52" s="3" t="s">
        <v>224</v>
      </c>
      <c r="C52" s="4">
        <v>120</v>
      </c>
      <c r="D52" s="4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>
        <f t="shared" si="0"/>
        <v>240</v>
      </c>
    </row>
    <row r="53" spans="1:16" x14ac:dyDescent="0.35">
      <c r="A53" s="3" t="s">
        <v>164</v>
      </c>
      <c r="B53" s="3" t="s">
        <v>163</v>
      </c>
      <c r="C53" s="4">
        <v>50</v>
      </c>
      <c r="D53" s="4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>
        <f t="shared" si="0"/>
        <v>170</v>
      </c>
    </row>
    <row r="54" spans="1:16" x14ac:dyDescent="0.35">
      <c r="A54" s="3" t="s">
        <v>292</v>
      </c>
      <c r="B54" s="3" t="s">
        <v>299</v>
      </c>
      <c r="C54" s="4">
        <v>-45</v>
      </c>
      <c r="D54" s="4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>
        <f xml:space="preserve"> 60 - SUM(D54:O54) + C54</f>
        <v>15</v>
      </c>
    </row>
    <row r="55" spans="1:16" x14ac:dyDescent="0.35">
      <c r="A55" s="3" t="s">
        <v>292</v>
      </c>
      <c r="B55" s="3" t="s">
        <v>328</v>
      </c>
      <c r="C55" s="4">
        <v>10</v>
      </c>
      <c r="D55" s="4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>
        <f xml:space="preserve"> 60 - SUM(D55:O55) + C55</f>
        <v>70</v>
      </c>
    </row>
    <row r="56" spans="1:16" x14ac:dyDescent="0.35">
      <c r="A56" s="3" t="s">
        <v>229</v>
      </c>
      <c r="B56" s="3" t="s">
        <v>228</v>
      </c>
      <c r="C56" s="4">
        <v>0</v>
      </c>
      <c r="D56" s="4">
        <v>5</v>
      </c>
      <c r="E56" s="28">
        <v>5</v>
      </c>
      <c r="F56" s="28">
        <v>5</v>
      </c>
      <c r="G56" s="28">
        <v>5</v>
      </c>
      <c r="H56" s="28">
        <v>5</v>
      </c>
      <c r="I56" s="28">
        <v>5</v>
      </c>
      <c r="J56" s="28"/>
      <c r="K56" s="28"/>
      <c r="L56" s="28"/>
      <c r="M56" s="28"/>
      <c r="N56" s="28"/>
      <c r="O56" s="28"/>
      <c r="P56" s="28">
        <f t="shared" si="0"/>
        <v>90</v>
      </c>
    </row>
    <row r="57" spans="1:16" x14ac:dyDescent="0.35">
      <c r="A57" s="3" t="s">
        <v>165</v>
      </c>
      <c r="B57" s="3" t="s">
        <v>115</v>
      </c>
      <c r="C57" s="4">
        <v>15</v>
      </c>
      <c r="D57" s="4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>
        <f xml:space="preserve"> 60 - SUM(D57:O57) + C57</f>
        <v>75</v>
      </c>
    </row>
    <row r="58" spans="1:16" x14ac:dyDescent="0.35">
      <c r="A58" s="3" t="s">
        <v>329</v>
      </c>
      <c r="B58" s="3" t="s">
        <v>108</v>
      </c>
      <c r="C58" s="4">
        <v>50</v>
      </c>
      <c r="D58" s="4"/>
      <c r="E58" s="28"/>
      <c r="F58" s="28">
        <v>60</v>
      </c>
      <c r="G58" s="28">
        <v>100</v>
      </c>
      <c r="H58" s="28"/>
      <c r="I58" s="28"/>
      <c r="J58" s="28"/>
      <c r="K58" s="28"/>
      <c r="L58" s="28"/>
      <c r="M58" s="28"/>
      <c r="N58" s="28"/>
      <c r="O58" s="28"/>
      <c r="P58" s="28">
        <f t="shared" si="0"/>
        <v>10</v>
      </c>
    </row>
    <row r="59" spans="1:16" x14ac:dyDescent="0.35">
      <c r="A59" s="3" t="s">
        <v>101</v>
      </c>
      <c r="B59" s="3" t="s">
        <v>201</v>
      </c>
      <c r="C59" s="4">
        <v>0</v>
      </c>
      <c r="D59" s="4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>
        <f t="shared" si="0"/>
        <v>120</v>
      </c>
    </row>
    <row r="60" spans="1:16" x14ac:dyDescent="0.35">
      <c r="A60" s="3" t="s">
        <v>106</v>
      </c>
      <c r="B60" s="3" t="s">
        <v>202</v>
      </c>
      <c r="C60" s="4">
        <v>90</v>
      </c>
      <c r="D60" s="4"/>
      <c r="E60" s="28"/>
      <c r="F60" s="28">
        <v>50</v>
      </c>
      <c r="G60" s="28"/>
      <c r="H60" s="28"/>
      <c r="I60" s="28"/>
      <c r="J60" s="28"/>
      <c r="K60" s="28"/>
      <c r="L60" s="28"/>
      <c r="M60" s="28"/>
      <c r="N60" s="28"/>
      <c r="O60" s="28"/>
      <c r="P60" s="28">
        <f t="shared" si="0"/>
        <v>160</v>
      </c>
    </row>
    <row r="61" spans="1:16" x14ac:dyDescent="0.35">
      <c r="A61" s="3" t="s">
        <v>109</v>
      </c>
      <c r="B61" s="3" t="s">
        <v>108</v>
      </c>
      <c r="C61" s="4">
        <v>105</v>
      </c>
      <c r="D61" s="4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>
        <f xml:space="preserve"> 60 - SUM(D61:O61) + C61</f>
        <v>165</v>
      </c>
    </row>
    <row r="62" spans="1:16" x14ac:dyDescent="0.35">
      <c r="A62" s="3" t="s">
        <v>204</v>
      </c>
      <c r="B62" s="3" t="s">
        <v>203</v>
      </c>
      <c r="C62" s="4">
        <v>20</v>
      </c>
      <c r="D62" s="4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>
        <f xml:space="preserve"> 60 - SUM(D62:O62) + C62</f>
        <v>80</v>
      </c>
    </row>
    <row r="63" spans="1:16" x14ac:dyDescent="0.35">
      <c r="A63" s="3" t="s">
        <v>232</v>
      </c>
      <c r="B63" s="3" t="s">
        <v>231</v>
      </c>
      <c r="C63" s="4">
        <v>180</v>
      </c>
      <c r="D63" s="4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>
        <f xml:space="preserve"> 120 - SUM(D63:O63) + C63</f>
        <v>300</v>
      </c>
    </row>
    <row r="64" spans="1:16" x14ac:dyDescent="0.35">
      <c r="A64" s="3" t="s">
        <v>168</v>
      </c>
      <c r="B64" s="3" t="s">
        <v>167</v>
      </c>
      <c r="C64" s="4">
        <v>0</v>
      </c>
      <c r="D64" s="4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>
        <f t="shared" si="0"/>
        <v>120</v>
      </c>
    </row>
    <row r="65" spans="1:16" x14ac:dyDescent="0.35">
      <c r="A65" s="3" t="s">
        <v>205</v>
      </c>
      <c r="B65" s="3" t="s">
        <v>234</v>
      </c>
      <c r="C65" s="4">
        <v>290</v>
      </c>
      <c r="D65" s="4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>
        <f t="shared" si="0"/>
        <v>410</v>
      </c>
    </row>
    <row r="66" spans="1:16" x14ac:dyDescent="0.35">
      <c r="A66" s="3" t="s">
        <v>13</v>
      </c>
      <c r="B66" s="3" t="s">
        <v>318</v>
      </c>
      <c r="C66" s="4">
        <v>260</v>
      </c>
      <c r="D66" s="4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>
        <f t="shared" si="0"/>
        <v>380</v>
      </c>
    </row>
    <row r="67" spans="1:16" x14ac:dyDescent="0.35">
      <c r="A67" s="3" t="s">
        <v>300</v>
      </c>
      <c r="B67" s="3" t="s">
        <v>237</v>
      </c>
      <c r="C67" s="4">
        <v>0</v>
      </c>
      <c r="D67" s="4"/>
      <c r="E67" s="28"/>
      <c r="F67" s="28">
        <v>30</v>
      </c>
      <c r="G67" s="28"/>
      <c r="H67" s="28"/>
      <c r="I67" s="28"/>
      <c r="J67" s="28"/>
      <c r="K67" s="28"/>
      <c r="L67" s="28"/>
      <c r="M67" s="28"/>
      <c r="N67" s="28"/>
      <c r="O67" s="28"/>
      <c r="P67" s="28">
        <f t="shared" si="0"/>
        <v>90</v>
      </c>
    </row>
    <row r="68" spans="1:16" x14ac:dyDescent="0.35">
      <c r="A68" s="3" t="s">
        <v>356</v>
      </c>
      <c r="B68" s="3" t="s">
        <v>372</v>
      </c>
      <c r="C68" s="4"/>
      <c r="D68" s="4"/>
      <c r="E68" s="28"/>
      <c r="F68" s="28"/>
      <c r="G68" s="28" t="s">
        <v>380</v>
      </c>
      <c r="H68" s="28"/>
      <c r="I68" s="28"/>
      <c r="J68" s="28"/>
      <c r="K68" s="28"/>
      <c r="L68" s="28"/>
      <c r="M68" s="28"/>
      <c r="N68" s="28"/>
      <c r="O68" s="28"/>
      <c r="P68" s="28">
        <f xml:space="preserve"> 80 - SUM(D68:O68) + C68</f>
        <v>80</v>
      </c>
    </row>
    <row r="69" spans="1:16" x14ac:dyDescent="0.35">
      <c r="A69" s="3" t="s">
        <v>378</v>
      </c>
      <c r="B69" s="3" t="s">
        <v>379</v>
      </c>
      <c r="C69" s="4"/>
      <c r="D69" s="4"/>
      <c r="E69" s="28"/>
      <c r="F69" s="28"/>
      <c r="G69" s="28"/>
      <c r="H69" s="28" t="s">
        <v>374</v>
      </c>
      <c r="I69" s="28">
        <v>5</v>
      </c>
      <c r="J69" s="28"/>
      <c r="K69" s="28"/>
      <c r="L69" s="28"/>
      <c r="M69" s="28"/>
      <c r="N69" s="28"/>
      <c r="O69" s="28"/>
      <c r="P69" s="28">
        <f xml:space="preserve"> 35 - SUM(D69:O69) + C69</f>
        <v>30</v>
      </c>
    </row>
    <row r="70" spans="1:16" x14ac:dyDescent="0.35">
      <c r="A70" s="3" t="s">
        <v>170</v>
      </c>
      <c r="B70" s="3" t="s">
        <v>344</v>
      </c>
      <c r="C70" s="4">
        <v>0</v>
      </c>
      <c r="D70" s="4"/>
      <c r="E70" s="28"/>
      <c r="F70" s="28">
        <v>60</v>
      </c>
      <c r="G70" s="28"/>
      <c r="H70" s="28"/>
      <c r="I70" s="28"/>
      <c r="J70" s="28"/>
      <c r="K70" s="28"/>
      <c r="L70" s="28"/>
      <c r="M70" s="28"/>
      <c r="N70" s="28"/>
      <c r="O70" s="28"/>
      <c r="P70" s="28">
        <f xml:space="preserve"> 60 - SUM(D70:O70) + C70</f>
        <v>0</v>
      </c>
    </row>
    <row r="71" spans="1:16" x14ac:dyDescent="0.35">
      <c r="A71" s="3" t="s">
        <v>119</v>
      </c>
      <c r="B71" s="3" t="s">
        <v>118</v>
      </c>
      <c r="C71" s="4">
        <v>45</v>
      </c>
      <c r="D71" s="4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>
        <f xml:space="preserve"> 60 - SUM(D71:O71) + C71</f>
        <v>105</v>
      </c>
    </row>
    <row r="72" spans="1:16" x14ac:dyDescent="0.35">
      <c r="A72" s="3" t="s">
        <v>121</v>
      </c>
      <c r="B72" s="3" t="s">
        <v>206</v>
      </c>
      <c r="C72" s="4">
        <v>20</v>
      </c>
      <c r="D72" s="4"/>
      <c r="E72" s="28"/>
      <c r="F72" s="28">
        <v>70</v>
      </c>
      <c r="G72" s="28"/>
      <c r="H72" s="28"/>
      <c r="I72" s="28"/>
      <c r="J72" s="28"/>
      <c r="K72" s="28"/>
      <c r="L72" s="28"/>
      <c r="M72" s="28"/>
      <c r="N72" s="28"/>
      <c r="O72" s="28"/>
      <c r="P72" s="28">
        <f t="shared" ref="P69:P80" si="1" xml:space="preserve"> 120 - SUM(D72:O72) + C72</f>
        <v>70</v>
      </c>
    </row>
    <row r="73" spans="1:16" x14ac:dyDescent="0.35">
      <c r="A73" s="3" t="s">
        <v>122</v>
      </c>
      <c r="B73" s="3" t="s">
        <v>207</v>
      </c>
      <c r="C73" s="4">
        <v>200</v>
      </c>
      <c r="D73" s="4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>
        <f t="shared" si="1"/>
        <v>320</v>
      </c>
    </row>
    <row r="74" spans="1:16" x14ac:dyDescent="0.35">
      <c r="A74" s="3" t="s">
        <v>293</v>
      </c>
      <c r="B74" s="3" t="s">
        <v>294</v>
      </c>
      <c r="C74" s="4">
        <v>0</v>
      </c>
      <c r="D74" s="4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>
        <f t="shared" si="1"/>
        <v>120</v>
      </c>
    </row>
    <row r="75" spans="1:16" x14ac:dyDescent="0.35">
      <c r="A75" s="3" t="s">
        <v>351</v>
      </c>
      <c r="B75" s="3" t="s">
        <v>56</v>
      </c>
      <c r="C75" s="4">
        <v>0</v>
      </c>
      <c r="D75" s="4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>
        <f xml:space="preserve"> 60 - SUM(D75:O75) + C75</f>
        <v>60</v>
      </c>
    </row>
    <row r="76" spans="1:16" x14ac:dyDescent="0.35">
      <c r="A76" s="3" t="s">
        <v>129</v>
      </c>
      <c r="B76" s="3" t="s">
        <v>128</v>
      </c>
      <c r="C76" s="4">
        <v>80</v>
      </c>
      <c r="D76" s="4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>
        <f xml:space="preserve"> 60 - SUM(D76:O76) + C76</f>
        <v>140</v>
      </c>
    </row>
    <row r="77" spans="1:16" x14ac:dyDescent="0.35">
      <c r="A77" s="3" t="s">
        <v>346</v>
      </c>
      <c r="B77" s="3" t="s">
        <v>347</v>
      </c>
      <c r="C77" s="4">
        <v>10</v>
      </c>
      <c r="D77" s="4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>
        <f t="shared" si="1"/>
        <v>130</v>
      </c>
    </row>
    <row r="78" spans="1:16" x14ac:dyDescent="0.35">
      <c r="A78" s="3" t="s">
        <v>335</v>
      </c>
      <c r="B78" s="3" t="s">
        <v>305</v>
      </c>
      <c r="C78" s="4">
        <v>5</v>
      </c>
      <c r="D78" s="4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>
        <f xml:space="preserve"> 60 - SUM(D78:O78) + C78</f>
        <v>65</v>
      </c>
    </row>
    <row r="79" spans="1:16" x14ac:dyDescent="0.35">
      <c r="A79" s="3" t="s">
        <v>354</v>
      </c>
      <c r="B79" s="3" t="s">
        <v>355</v>
      </c>
      <c r="C79" s="4"/>
      <c r="D79" s="4"/>
      <c r="E79" s="28" t="s">
        <v>377</v>
      </c>
      <c r="F79" s="28">
        <v>10</v>
      </c>
      <c r="G79" s="28"/>
      <c r="H79" s="57">
        <v>20</v>
      </c>
      <c r="I79" s="28"/>
      <c r="J79" s="28"/>
      <c r="K79" s="28"/>
      <c r="L79" s="28"/>
      <c r="M79" s="28"/>
      <c r="N79" s="28"/>
      <c r="O79" s="28"/>
      <c r="P79" s="28">
        <f t="shared" si="1"/>
        <v>90</v>
      </c>
    </row>
    <row r="80" spans="1:16" x14ac:dyDescent="0.35">
      <c r="A80" s="3" t="s">
        <v>131</v>
      </c>
      <c r="B80" s="3" t="s">
        <v>208</v>
      </c>
      <c r="C80" s="4">
        <v>10</v>
      </c>
      <c r="D80" s="4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>
        <f t="shared" si="1"/>
        <v>130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B4C9-9181-4A93-9A7D-3BBA885A7E8B}">
  <dimension ref="A1:B74"/>
  <sheetViews>
    <sheetView topLeftCell="A63" workbookViewId="0">
      <selection activeCell="A73" sqref="A73:B73"/>
    </sheetView>
  </sheetViews>
  <sheetFormatPr defaultRowHeight="14.5" x14ac:dyDescent="0.35"/>
  <cols>
    <col min="1" max="1" width="18.26953125" customWidth="1"/>
    <col min="2" max="2" width="31.453125" customWidth="1"/>
  </cols>
  <sheetData>
    <row r="1" spans="1:2" ht="17.5" x14ac:dyDescent="0.35">
      <c r="A1" s="1" t="s">
        <v>1</v>
      </c>
      <c r="B1" s="1" t="s">
        <v>0</v>
      </c>
    </row>
    <row r="2" spans="1:2" ht="17.5" x14ac:dyDescent="0.35">
      <c r="A2" s="3" t="s">
        <v>181</v>
      </c>
      <c r="B2" s="3" t="s">
        <v>277</v>
      </c>
    </row>
    <row r="3" spans="1:2" ht="17.5" x14ac:dyDescent="0.35">
      <c r="A3" s="3" t="s">
        <v>10</v>
      </c>
      <c r="B3" s="3" t="s">
        <v>9</v>
      </c>
    </row>
    <row r="4" spans="1:2" ht="17.5" x14ac:dyDescent="0.35">
      <c r="A4" s="3" t="s">
        <v>10</v>
      </c>
      <c r="B4" s="3" t="s">
        <v>175</v>
      </c>
    </row>
    <row r="5" spans="1:2" ht="17.5" x14ac:dyDescent="0.35">
      <c r="A5" s="3" t="s">
        <v>16</v>
      </c>
      <c r="B5" s="3" t="s">
        <v>176</v>
      </c>
    </row>
    <row r="6" spans="1:2" ht="17.5" x14ac:dyDescent="0.35">
      <c r="A6" s="3" t="s">
        <v>179</v>
      </c>
      <c r="B6" s="3" t="s">
        <v>332</v>
      </c>
    </row>
    <row r="7" spans="1:2" ht="17.5" x14ac:dyDescent="0.35">
      <c r="A7" s="3" t="s">
        <v>214</v>
      </c>
      <c r="B7" s="3" t="s">
        <v>193</v>
      </c>
    </row>
    <row r="8" spans="1:2" ht="17.5" x14ac:dyDescent="0.35">
      <c r="A8" s="3" t="s">
        <v>214</v>
      </c>
      <c r="B8" s="3" t="s">
        <v>215</v>
      </c>
    </row>
    <row r="9" spans="1:2" ht="17.5" x14ac:dyDescent="0.35">
      <c r="A9" s="3" t="s">
        <v>280</v>
      </c>
      <c r="B9" s="3" t="s">
        <v>281</v>
      </c>
    </row>
    <row r="10" spans="1:2" ht="17.5" x14ac:dyDescent="0.35">
      <c r="A10" s="26" t="s">
        <v>29</v>
      </c>
      <c r="B10" s="26" t="s">
        <v>218</v>
      </c>
    </row>
    <row r="11" spans="1:2" ht="17.5" x14ac:dyDescent="0.35">
      <c r="A11" s="26" t="s">
        <v>362</v>
      </c>
      <c r="B11" s="26" t="s">
        <v>15</v>
      </c>
    </row>
    <row r="12" spans="1:2" ht="17.5" x14ac:dyDescent="0.35">
      <c r="A12" s="3" t="s">
        <v>184</v>
      </c>
      <c r="B12" s="3" t="s">
        <v>183</v>
      </c>
    </row>
    <row r="13" spans="1:2" ht="17.5" x14ac:dyDescent="0.35">
      <c r="A13" s="3" t="s">
        <v>282</v>
      </c>
      <c r="B13" s="3" t="s">
        <v>283</v>
      </c>
    </row>
    <row r="14" spans="1:2" ht="17.5" x14ac:dyDescent="0.35">
      <c r="A14" s="3" t="s">
        <v>352</v>
      </c>
      <c r="B14" s="3" t="s">
        <v>305</v>
      </c>
    </row>
    <row r="15" spans="1:2" ht="17.5" x14ac:dyDescent="0.35">
      <c r="A15" s="3" t="s">
        <v>147</v>
      </c>
      <c r="B15" s="3" t="s">
        <v>364</v>
      </c>
    </row>
    <row r="16" spans="1:2" ht="17.5" x14ac:dyDescent="0.35">
      <c r="A16" s="3" t="s">
        <v>348</v>
      </c>
      <c r="B16" s="3" t="s">
        <v>349</v>
      </c>
    </row>
    <row r="17" spans="1:2" ht="17.5" x14ac:dyDescent="0.35">
      <c r="A17" s="3" t="s">
        <v>324</v>
      </c>
      <c r="B17" s="3" t="s">
        <v>325</v>
      </c>
    </row>
    <row r="18" spans="1:2" ht="17.5" x14ac:dyDescent="0.35">
      <c r="A18" s="3" t="s">
        <v>360</v>
      </c>
      <c r="B18" s="3" t="s">
        <v>361</v>
      </c>
    </row>
    <row r="19" spans="1:2" ht="17.5" x14ac:dyDescent="0.35">
      <c r="A19" s="3" t="s">
        <v>44</v>
      </c>
      <c r="B19" s="3" t="s">
        <v>43</v>
      </c>
    </row>
    <row r="20" spans="1:2" ht="17.5" x14ac:dyDescent="0.35">
      <c r="A20" s="3" t="s">
        <v>47</v>
      </c>
      <c r="B20" s="3" t="s">
        <v>143</v>
      </c>
    </row>
    <row r="21" spans="1:2" ht="17.5" x14ac:dyDescent="0.35">
      <c r="A21" s="3" t="s">
        <v>49</v>
      </c>
      <c r="B21" s="3" t="s">
        <v>186</v>
      </c>
    </row>
    <row r="22" spans="1:2" ht="17.5" x14ac:dyDescent="0.35">
      <c r="A22" s="3" t="s">
        <v>284</v>
      </c>
      <c r="B22" s="3" t="s">
        <v>285</v>
      </c>
    </row>
    <row r="23" spans="1:2" ht="17.5" x14ac:dyDescent="0.35">
      <c r="A23" s="3" t="s">
        <v>188</v>
      </c>
      <c r="B23" s="3" t="s">
        <v>286</v>
      </c>
    </row>
    <row r="24" spans="1:2" ht="17.5" x14ac:dyDescent="0.35">
      <c r="A24" s="3" t="s">
        <v>54</v>
      </c>
      <c r="B24" s="3" t="s">
        <v>53</v>
      </c>
    </row>
    <row r="25" spans="1:2" ht="17.5" x14ac:dyDescent="0.35">
      <c r="A25" s="3" t="s">
        <v>151</v>
      </c>
      <c r="B25" s="3" t="s">
        <v>287</v>
      </c>
    </row>
    <row r="26" spans="1:2" ht="17.5" x14ac:dyDescent="0.35">
      <c r="A26" s="3" t="s">
        <v>296</v>
      </c>
      <c r="B26" s="3" t="s">
        <v>297</v>
      </c>
    </row>
    <row r="27" spans="1:2" ht="17.5" x14ac:dyDescent="0.35">
      <c r="A27" s="3" t="s">
        <v>298</v>
      </c>
      <c r="B27" s="3" t="s">
        <v>315</v>
      </c>
    </row>
    <row r="28" spans="1:2" ht="17.5" x14ac:dyDescent="0.35">
      <c r="A28" s="3" t="s">
        <v>57</v>
      </c>
      <c r="B28" s="3" t="s">
        <v>191</v>
      </c>
    </row>
    <row r="29" spans="1:2" ht="17.5" x14ac:dyDescent="0.35">
      <c r="A29" s="3" t="s">
        <v>321</v>
      </c>
      <c r="B29" s="3" t="s">
        <v>322</v>
      </c>
    </row>
    <row r="30" spans="1:2" ht="17.5" x14ac:dyDescent="0.35">
      <c r="A30" s="3" t="s">
        <v>62</v>
      </c>
      <c r="B30" s="3" t="s">
        <v>192</v>
      </c>
    </row>
    <row r="31" spans="1:2" ht="17.5" x14ac:dyDescent="0.35">
      <c r="A31" s="3" t="s">
        <v>69</v>
      </c>
      <c r="B31" s="3" t="s">
        <v>363</v>
      </c>
    </row>
    <row r="32" spans="1:2" ht="17.5" x14ac:dyDescent="0.35">
      <c r="A32" s="3" t="s">
        <v>69</v>
      </c>
      <c r="B32" s="3" t="s">
        <v>305</v>
      </c>
    </row>
    <row r="33" spans="1:2" ht="17.5" x14ac:dyDescent="0.35">
      <c r="A33" s="3" t="s">
        <v>69</v>
      </c>
      <c r="B33" s="3" t="s">
        <v>70</v>
      </c>
    </row>
    <row r="34" spans="1:2" ht="17.5" x14ac:dyDescent="0.35">
      <c r="A34" s="3" t="s">
        <v>69</v>
      </c>
      <c r="B34" s="3" t="s">
        <v>246</v>
      </c>
    </row>
    <row r="35" spans="1:2" ht="17.5" x14ac:dyDescent="0.35">
      <c r="A35" s="3" t="s">
        <v>69</v>
      </c>
      <c r="B35" s="3" t="s">
        <v>72</v>
      </c>
    </row>
    <row r="36" spans="1:2" ht="17.5" x14ac:dyDescent="0.35">
      <c r="A36" s="3" t="s">
        <v>69</v>
      </c>
      <c r="B36" s="3" t="s">
        <v>77</v>
      </c>
    </row>
    <row r="37" spans="1:2" ht="17.5" x14ac:dyDescent="0.35">
      <c r="A37" s="3" t="s">
        <v>69</v>
      </c>
      <c r="B37" s="3" t="s">
        <v>353</v>
      </c>
    </row>
    <row r="38" spans="1:2" ht="17.5" x14ac:dyDescent="0.35">
      <c r="A38" s="3" t="s">
        <v>81</v>
      </c>
      <c r="B38" s="3" t="s">
        <v>195</v>
      </c>
    </row>
    <row r="39" spans="1:2" ht="17.5" x14ac:dyDescent="0.35">
      <c r="A39" s="3" t="s">
        <v>288</v>
      </c>
      <c r="B39" s="3" t="s">
        <v>289</v>
      </c>
    </row>
    <row r="40" spans="1:2" ht="17.5" x14ac:dyDescent="0.35">
      <c r="A40" s="3" t="s">
        <v>334</v>
      </c>
      <c r="B40" s="3" t="s">
        <v>115</v>
      </c>
    </row>
    <row r="41" spans="1:2" ht="17.5" x14ac:dyDescent="0.35">
      <c r="A41" s="3" t="s">
        <v>157</v>
      </c>
      <c r="B41" s="3" t="s">
        <v>196</v>
      </c>
    </row>
    <row r="42" spans="1:2" ht="17.5" x14ac:dyDescent="0.35">
      <c r="A42" s="3" t="s">
        <v>161</v>
      </c>
      <c r="B42" s="3" t="s">
        <v>290</v>
      </c>
    </row>
    <row r="43" spans="1:2" ht="17.5" x14ac:dyDescent="0.35">
      <c r="A43" s="3" t="s">
        <v>84</v>
      </c>
      <c r="B43" s="3" t="s">
        <v>198</v>
      </c>
    </row>
    <row r="44" spans="1:2" ht="17.5" x14ac:dyDescent="0.35">
      <c r="A44" s="3" t="s">
        <v>358</v>
      </c>
      <c r="B44" s="3" t="s">
        <v>348</v>
      </c>
    </row>
    <row r="45" spans="1:2" ht="17.5" x14ac:dyDescent="0.35">
      <c r="A45" s="3" t="s">
        <v>199</v>
      </c>
      <c r="B45" s="3" t="s">
        <v>36</v>
      </c>
    </row>
    <row r="46" spans="1:2" ht="17.5" x14ac:dyDescent="0.35">
      <c r="A46" s="3" t="s">
        <v>87</v>
      </c>
      <c r="B46" s="3" t="s">
        <v>86</v>
      </c>
    </row>
    <row r="47" spans="1:2" ht="17.5" x14ac:dyDescent="0.35">
      <c r="A47" s="3" t="s">
        <v>225</v>
      </c>
      <c r="B47" s="3" t="s">
        <v>224</v>
      </c>
    </row>
    <row r="48" spans="1:2" ht="17.5" x14ac:dyDescent="0.35">
      <c r="A48" s="3" t="s">
        <v>164</v>
      </c>
      <c r="B48" s="3" t="s">
        <v>163</v>
      </c>
    </row>
    <row r="49" spans="1:2" ht="17.5" x14ac:dyDescent="0.35">
      <c r="A49" s="3" t="s">
        <v>292</v>
      </c>
      <c r="B49" s="3" t="s">
        <v>299</v>
      </c>
    </row>
    <row r="50" spans="1:2" ht="17.5" x14ac:dyDescent="0.35">
      <c r="A50" s="3" t="s">
        <v>292</v>
      </c>
      <c r="B50" s="3" t="s">
        <v>359</v>
      </c>
    </row>
    <row r="51" spans="1:2" ht="17.5" x14ac:dyDescent="0.35">
      <c r="A51" s="3" t="s">
        <v>292</v>
      </c>
      <c r="B51" s="3" t="s">
        <v>328</v>
      </c>
    </row>
    <row r="52" spans="1:2" ht="17.5" x14ac:dyDescent="0.35">
      <c r="A52" s="3" t="s">
        <v>229</v>
      </c>
      <c r="B52" s="3" t="s">
        <v>228</v>
      </c>
    </row>
    <row r="53" spans="1:2" ht="17.5" x14ac:dyDescent="0.35">
      <c r="A53" s="3" t="s">
        <v>165</v>
      </c>
      <c r="B53" s="3" t="s">
        <v>115</v>
      </c>
    </row>
    <row r="54" spans="1:2" ht="17.5" x14ac:dyDescent="0.35">
      <c r="A54" s="3" t="s">
        <v>329</v>
      </c>
      <c r="B54" s="3" t="s">
        <v>108</v>
      </c>
    </row>
    <row r="55" spans="1:2" ht="17.5" x14ac:dyDescent="0.35">
      <c r="A55" s="3" t="s">
        <v>101</v>
      </c>
      <c r="B55" s="3" t="s">
        <v>201</v>
      </c>
    </row>
    <row r="56" spans="1:2" ht="17.5" x14ac:dyDescent="0.35">
      <c r="A56" s="3" t="s">
        <v>106</v>
      </c>
      <c r="B56" s="3" t="s">
        <v>202</v>
      </c>
    </row>
    <row r="57" spans="1:2" ht="17.5" x14ac:dyDescent="0.35">
      <c r="A57" s="3" t="s">
        <v>204</v>
      </c>
      <c r="B57" s="3" t="s">
        <v>203</v>
      </c>
    </row>
    <row r="58" spans="1:2" ht="17.5" x14ac:dyDescent="0.35">
      <c r="A58" s="3" t="s">
        <v>232</v>
      </c>
      <c r="B58" s="3" t="s">
        <v>231</v>
      </c>
    </row>
    <row r="59" spans="1:2" ht="17.5" x14ac:dyDescent="0.35">
      <c r="A59" s="3" t="s">
        <v>168</v>
      </c>
      <c r="B59" s="3" t="s">
        <v>167</v>
      </c>
    </row>
    <row r="60" spans="1:2" ht="17.5" x14ac:dyDescent="0.35">
      <c r="A60" s="3" t="s">
        <v>205</v>
      </c>
      <c r="B60" s="3" t="s">
        <v>234</v>
      </c>
    </row>
    <row r="61" spans="1:2" ht="17.5" x14ac:dyDescent="0.35">
      <c r="A61" s="3" t="s">
        <v>13</v>
      </c>
      <c r="B61" s="3" t="s">
        <v>318</v>
      </c>
    </row>
    <row r="62" spans="1:2" ht="17.5" x14ac:dyDescent="0.35">
      <c r="A62" s="3" t="s">
        <v>300</v>
      </c>
      <c r="B62" s="3" t="s">
        <v>237</v>
      </c>
    </row>
    <row r="63" spans="1:2" ht="17.5" x14ac:dyDescent="0.35">
      <c r="A63" s="3" t="s">
        <v>356</v>
      </c>
      <c r="B63" s="3" t="s">
        <v>357</v>
      </c>
    </row>
    <row r="64" spans="1:2" ht="17.5" x14ac:dyDescent="0.35">
      <c r="A64" s="3" t="s">
        <v>170</v>
      </c>
      <c r="B64" s="3" t="s">
        <v>344</v>
      </c>
    </row>
    <row r="65" spans="1:2" ht="17.5" x14ac:dyDescent="0.35">
      <c r="A65" s="3" t="s">
        <v>119</v>
      </c>
      <c r="B65" s="3" t="s">
        <v>118</v>
      </c>
    </row>
    <row r="66" spans="1:2" ht="17.5" x14ac:dyDescent="0.35">
      <c r="A66" s="3" t="s">
        <v>121</v>
      </c>
      <c r="B66" s="3" t="s">
        <v>206</v>
      </c>
    </row>
    <row r="67" spans="1:2" ht="17.5" x14ac:dyDescent="0.35">
      <c r="A67" s="3" t="s">
        <v>122</v>
      </c>
      <c r="B67" s="3" t="s">
        <v>207</v>
      </c>
    </row>
    <row r="68" spans="1:2" ht="17.5" x14ac:dyDescent="0.35">
      <c r="A68" s="3" t="s">
        <v>293</v>
      </c>
      <c r="B68" s="3" t="s">
        <v>294</v>
      </c>
    </row>
    <row r="69" spans="1:2" ht="17.5" x14ac:dyDescent="0.35">
      <c r="A69" s="3" t="s">
        <v>351</v>
      </c>
      <c r="B69" s="3" t="s">
        <v>56</v>
      </c>
    </row>
    <row r="70" spans="1:2" ht="17.5" x14ac:dyDescent="0.35">
      <c r="A70" s="3" t="s">
        <v>129</v>
      </c>
      <c r="B70" s="3" t="s">
        <v>128</v>
      </c>
    </row>
    <row r="71" spans="1:2" ht="17.5" x14ac:dyDescent="0.35">
      <c r="A71" s="3" t="s">
        <v>346</v>
      </c>
      <c r="B71" s="3" t="s">
        <v>347</v>
      </c>
    </row>
    <row r="72" spans="1:2" ht="17.5" x14ac:dyDescent="0.35">
      <c r="A72" s="3" t="s">
        <v>335</v>
      </c>
      <c r="B72" s="3" t="s">
        <v>305</v>
      </c>
    </row>
    <row r="73" spans="1:2" ht="17.5" x14ac:dyDescent="0.35">
      <c r="A73" s="3" t="s">
        <v>354</v>
      </c>
      <c r="B73" s="3" t="s">
        <v>355</v>
      </c>
    </row>
    <row r="74" spans="1:2" ht="17.5" x14ac:dyDescent="0.35">
      <c r="A74" s="3" t="s">
        <v>131</v>
      </c>
      <c r="B74" s="3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</vt:lpstr>
      <vt:lpstr>2020</vt:lpstr>
      <vt:lpstr>2021</vt:lpstr>
      <vt:lpstr>2022</vt:lpstr>
      <vt:lpstr>2023</vt:lpstr>
      <vt:lpstr>Iriji 2023</vt:lpstr>
      <vt:lpstr>2024</vt:lpstr>
      <vt:lpstr>Iriji 2024</vt:lpstr>
      <vt:lpstr>2025</vt:lpstr>
      <vt:lpstr>Iriji 2025</vt:lpstr>
      <vt:lpstr>2026</vt:lpstr>
      <vt:lpstr>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Ezinne Ibe</cp:lastModifiedBy>
  <cp:revision/>
  <dcterms:created xsi:type="dcterms:W3CDTF">2019-08-30T20:14:12Z</dcterms:created>
  <dcterms:modified xsi:type="dcterms:W3CDTF">2026-06-23T17:54:03Z</dcterms:modified>
  <cp:category/>
  <cp:contentStatus/>
</cp:coreProperties>
</file>