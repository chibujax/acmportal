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whtreatmentltd-my.sharepoint.com/personal/andrew_iheanaetu_mwhtreatment_com/Documents/Mine/Abia Comm/"/>
    </mc:Choice>
  </mc:AlternateContent>
  <xr:revisionPtr revIDLastSave="2" documentId="13_ncr:1_{48890561-F59B-42A7-A6E6-F4067D9E75D1}" xr6:coauthVersionLast="47" xr6:coauthVersionMax="47" xr10:uidLastSave="{030BDB7B-7425-4287-8292-B836E1425D45}"/>
  <bookViews>
    <workbookView xWindow="28680" yWindow="-120" windowWidth="29040" windowHeight="15720" tabRatio="819" activeTab="5" xr2:uid="{F22EAC43-B5CC-48D1-8337-A373B9AE8EF2}"/>
  </bookViews>
  <sheets>
    <sheet name="2023_old" sheetId="2" r:id="rId1"/>
    <sheet name="2023 Ikperi. Cont" sheetId="3" r:id="rId2"/>
    <sheet name="Attendance 2023" sheetId="1" r:id="rId3"/>
    <sheet name="Attendance 2024_old" sheetId="4" r:id="rId4"/>
    <sheet name="Attendance 2024" sheetId="5" r:id="rId5"/>
    <sheet name="Attendance 2025" sheetId="6" r:id="rId6"/>
    <sheet name="Exco Election Data" sheetId="7" r:id="rId7"/>
  </sheets>
  <definedNames>
    <definedName name="_xlnm._FilterDatabase" localSheetId="0" hidden="1">'2023_old'!$A$1:$AE$77</definedName>
    <definedName name="_xlnm._FilterDatabase" localSheetId="2" hidden="1">'Attendance 2023'!$A$1:$Z$97</definedName>
    <definedName name="_xlnm._FilterDatabase" localSheetId="4" hidden="1">'Attendance 2024'!$A$1:$T$90</definedName>
    <definedName name="_xlnm._FilterDatabase" localSheetId="3" hidden="1">'Attendance 2024_old'!$A$1:$R$109</definedName>
    <definedName name="_xlnm._FilterDatabase" localSheetId="5" hidden="1">'Attendance 2025'!$A$1:$S$93</definedName>
    <definedName name="_xlnm.Print_Area" localSheetId="4">'Attendance 2024'!$A$1:$N$121</definedName>
    <definedName name="_xlnm.Print_Area" localSheetId="5">'Attendance 2025'!$A$1:$N$112</definedName>
    <definedName name="_xlnm.Print_Titles" localSheetId="4">'Attendance 2024'!$1:$1</definedName>
    <definedName name="_xlnm.Print_Titles" localSheetId="5">'Attendance 2025'!$1:$1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0" i="6" l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99" i="6"/>
  <c r="G112" i="6"/>
  <c r="H112" i="6"/>
  <c r="I112" i="6"/>
  <c r="J112" i="6"/>
  <c r="E112" i="6"/>
  <c r="F112" i="6"/>
  <c r="K112" i="6"/>
  <c r="L112" i="6"/>
  <c r="M112" i="6"/>
  <c r="AB101" i="7"/>
  <c r="AA101" i="7"/>
  <c r="Z101" i="7"/>
  <c r="Y101" i="7"/>
  <c r="X101" i="7"/>
  <c r="AB94" i="7"/>
  <c r="AA94" i="7"/>
  <c r="Z94" i="7"/>
  <c r="Y94" i="7"/>
  <c r="X94" i="7"/>
  <c r="AE94" i="7" s="1"/>
  <c r="A20" i="7"/>
  <c r="A21" i="7" s="1"/>
  <c r="A23" i="7" s="1"/>
  <c r="A24" i="7" s="1"/>
  <c r="A25" i="7" s="1"/>
  <c r="A26" i="7" s="1"/>
  <c r="A28" i="7" s="1"/>
  <c r="A30" i="7" s="1"/>
  <c r="A32" i="7" s="1"/>
  <c r="A33" i="7" s="1"/>
  <c r="A35" i="7" s="1"/>
  <c r="A37" i="7" s="1"/>
  <c r="A39" i="7" s="1"/>
  <c r="A41" i="7" s="1"/>
  <c r="A43" i="7" s="1"/>
  <c r="A45" i="7" s="1"/>
  <c r="A46" i="7" s="1"/>
  <c r="A47" i="7" s="1"/>
  <c r="A48" i="7" s="1"/>
  <c r="A50" i="7" s="1"/>
  <c r="A51" i="7" s="1"/>
  <c r="A53" i="7" s="1"/>
  <c r="A55" i="7" s="1"/>
  <c r="A57" i="7" s="1"/>
  <c r="A58" i="7" s="1"/>
  <c r="A59" i="7" s="1"/>
  <c r="A60" i="7" s="1"/>
  <c r="A62" i="7" s="1"/>
  <c r="A63" i="7" s="1"/>
  <c r="A64" i="7" s="1"/>
  <c r="A65" i="7" s="1"/>
  <c r="D112" i="6"/>
  <c r="K95" i="6"/>
  <c r="J95" i="6"/>
  <c r="I95" i="6"/>
  <c r="H95" i="6"/>
  <c r="G95" i="6"/>
  <c r="F95" i="6"/>
  <c r="E95" i="6"/>
  <c r="D95" i="6"/>
  <c r="N95" i="6" s="1"/>
  <c r="A20" i="6"/>
  <c r="A21" i="6" s="1"/>
  <c r="A23" i="6" s="1"/>
  <c r="A24" i="6" s="1"/>
  <c r="A25" i="6" s="1"/>
  <c r="A26" i="6" s="1"/>
  <c r="A28" i="6" s="1"/>
  <c r="A30" i="6" s="1"/>
  <c r="A32" i="6" s="1"/>
  <c r="A33" i="6" s="1"/>
  <c r="A35" i="6" s="1"/>
  <c r="A37" i="6" s="1"/>
  <c r="A39" i="6" s="1"/>
  <c r="A41" i="6" s="1"/>
  <c r="A43" i="6" s="1"/>
  <c r="A45" i="6" s="1"/>
  <c r="A46" i="6" s="1"/>
  <c r="A47" i="6" s="1"/>
  <c r="A48" i="6" s="1"/>
  <c r="A50" i="6" s="1"/>
  <c r="A51" i="6" s="1"/>
  <c r="A53" i="6" s="1"/>
  <c r="A55" i="6" s="1"/>
  <c r="A57" i="6" s="1"/>
  <c r="A58" i="6" s="1"/>
  <c r="A59" i="6" s="1"/>
  <c r="A60" i="6" s="1"/>
  <c r="A62" i="6" s="1"/>
  <c r="A63" i="6" s="1"/>
  <c r="K92" i="5"/>
  <c r="K121" i="5"/>
  <c r="J92" i="5"/>
  <c r="J121" i="5"/>
  <c r="I121" i="5"/>
  <c r="I92" i="5"/>
  <c r="E121" i="5"/>
  <c r="F121" i="5"/>
  <c r="G121" i="5"/>
  <c r="H121" i="5"/>
  <c r="D121" i="5"/>
  <c r="H92" i="5"/>
  <c r="E92" i="5"/>
  <c r="F92" i="5"/>
  <c r="G92" i="5"/>
  <c r="D92" i="5"/>
  <c r="F111" i="4"/>
  <c r="E111" i="4"/>
  <c r="D111" i="4"/>
  <c r="C111" i="4"/>
  <c r="N19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1" i="1"/>
  <c r="R99" i="1"/>
  <c r="Q99" i="1"/>
  <c r="P99" i="1"/>
  <c r="V19" i="1"/>
  <c r="N99" i="1"/>
  <c r="A3" i="1"/>
  <c r="M99" i="1"/>
  <c r="L99" i="1"/>
  <c r="C15" i="3"/>
  <c r="K99" i="1"/>
  <c r="J79" i="2"/>
  <c r="J99" i="1"/>
  <c r="A64" i="6" l="1"/>
  <c r="A65" i="6" s="1"/>
  <c r="A67" i="6" s="1"/>
  <c r="A68" i="6" s="1"/>
  <c r="A69" i="6" s="1"/>
  <c r="A70" i="6" s="1"/>
  <c r="A72" i="6" s="1"/>
  <c r="A74" i="6" s="1"/>
  <c r="A75" i="6" s="1"/>
  <c r="A76" i="6" s="1"/>
  <c r="A77" i="6" s="1"/>
  <c r="A78" i="6" s="1"/>
  <c r="A80" i="6" s="1"/>
  <c r="A82" i="6" s="1"/>
  <c r="A83" i="6" s="1"/>
  <c r="A85" i="6" s="1"/>
  <c r="A86" i="6" s="1"/>
  <c r="A88" i="6" s="1"/>
  <c r="A90" i="6" s="1"/>
  <c r="A91" i="6" s="1"/>
  <c r="A92" i="6" s="1"/>
  <c r="A66" i="7"/>
  <c r="A67" i="7" s="1"/>
  <c r="A20" i="5"/>
  <c r="A21" i="5" s="1"/>
  <c r="N92" i="5"/>
  <c r="A43" i="4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L111" i="4"/>
  <c r="T99" i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68" i="7" l="1"/>
  <c r="A69" i="7" s="1"/>
  <c r="A71" i="7" s="1"/>
  <c r="A73" i="7" s="1"/>
  <c r="A74" i="7" s="1"/>
  <c r="A75" i="7" s="1"/>
  <c r="A76" i="7" s="1"/>
  <c r="A77" i="7" s="1"/>
  <c r="A79" i="7" s="1"/>
  <c r="A81" i="7" s="1"/>
  <c r="A82" i="7" s="1"/>
  <c r="A84" i="7" s="1"/>
  <c r="A85" i="7" s="1"/>
  <c r="A87" i="7" s="1"/>
  <c r="A89" i="7" s="1"/>
  <c r="A90" i="7" s="1"/>
  <c r="A91" i="7" s="1"/>
  <c r="A23" i="5"/>
  <c r="A24" i="5" s="1"/>
  <c r="A25" i="5" s="1"/>
  <c r="A42" i="1"/>
  <c r="A26" i="5" l="1"/>
  <c r="A28" i="5" s="1"/>
  <c r="A30" i="5" s="1"/>
  <c r="A32" i="5" s="1"/>
  <c r="A33" i="5" s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35" i="5" l="1"/>
  <c r="A37" i="5" s="1"/>
  <c r="A39" i="5" s="1"/>
  <c r="A41" i="5" s="1"/>
  <c r="A43" i="5" s="1"/>
  <c r="A45" i="5" s="1"/>
  <c r="A46" i="5" s="1"/>
  <c r="A47" i="5" s="1"/>
  <c r="A48" i="5" s="1"/>
  <c r="A50" i="5" s="1"/>
  <c r="A51" i="5" s="1"/>
  <c r="A53" i="5" s="1"/>
  <c r="A55" i="5" s="1"/>
  <c r="A57" i="5" s="1"/>
  <c r="A58" i="5" s="1"/>
  <c r="A59" i="5" s="1"/>
  <c r="A60" i="5" s="1"/>
  <c r="A62" i="5" s="1"/>
  <c r="A63" i="5" s="1"/>
  <c r="A64" i="5" s="1"/>
  <c r="A66" i="5" l="1"/>
  <c r="A67" i="5" s="1"/>
  <c r="A68" i="5" l="1"/>
  <c r="A70" i="5" s="1"/>
  <c r="A72" i="5" s="1"/>
  <c r="A73" i="5" s="1"/>
  <c r="A74" i="5" s="1"/>
  <c r="A75" i="5" s="1"/>
  <c r="A76" i="5" s="1"/>
  <c r="A78" i="5" l="1"/>
  <c r="A79" i="5" s="1"/>
  <c r="A80" i="5" s="1"/>
  <c r="A82" i="5" l="1"/>
  <c r="A83" i="5" s="1"/>
  <c r="A85" i="5" s="1"/>
  <c r="A87" i="5" s="1"/>
  <c r="A88" i="5" s="1"/>
  <c r="A8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Iheanaetu</author>
  </authors>
  <commentList>
    <comment ref="F61" authorId="0" shapeId="0" xr:uid="{2B48ACB3-2019-4C08-9208-A4E852569C5A}">
      <text>
        <r>
          <rPr>
            <b/>
            <sz val="9"/>
            <color indexed="81"/>
            <rFont val="Tahoma"/>
            <family val="2"/>
          </rPr>
          <t>Andrew Iheanaetu:</t>
        </r>
        <r>
          <rPr>
            <sz val="9"/>
            <color indexed="81"/>
            <rFont val="Tahoma"/>
            <family val="2"/>
          </rPr>
          <t xml:space="preserve">
+ Mr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tc={4E93950E-C058-4C33-8D97-893383087F40}</author>
    <author>Andrew Iheanaetu</author>
    <author>tc={D0C2D493-38DE-4131-B6B0-0076C3E5D4CF}</author>
    <author>tc={E0CF02BE-A20C-47F6-A7FC-8A1D08ED9B98}</author>
    <author>tc={E27CB7F2-8547-4005-95E7-E9274F270485}</author>
    <author>tc={711C679D-0482-4A21-ABAD-21B7A893FA0A}</author>
    <author>tc={17A77BB9-506E-4A27-82DC-8E2D80409AAC}</author>
    <author>tc={B5BB176B-0A04-4440-A37A-D967E783A49A}</author>
    <author>tc={B6DF1CAF-5ABC-4BEB-B927-A05C8FBD6639}</author>
    <author>tc={FE566E46-540C-46D7-95AE-DED3DBAEF336}</author>
    <author>tc={FAFEA387-0682-4C5C-8E0D-AF53F5FEA959}</author>
    <author>tc={53210F46-FC8E-4BF7-9946-03EA1BB36138}</author>
    <author>tc={F50961EE-1A1E-4CAF-9E60-EEB31258F1BB}</author>
  </authors>
  <commentList>
    <comment ref="L14" authorId="0" shapeId="0" xr:uid="{4E93950E-C058-4C33-8D97-893383087F40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J17" authorId="1" shapeId="0" xr:uid="{6A6D1CD1-6605-4527-8E8B-A261C5A99802}">
      <text>
        <r>
          <rPr>
            <b/>
            <sz val="9"/>
            <color indexed="81"/>
            <rFont val="Tahoma"/>
            <family val="2"/>
          </rPr>
          <t>Andrew Iheanaetu:</t>
        </r>
        <r>
          <rPr>
            <sz val="9"/>
            <color indexed="81"/>
            <rFont val="Tahoma"/>
            <family val="2"/>
          </rPr>
          <t xml:space="preserve">
Maternity?
</t>
        </r>
      </text>
    </comment>
    <comment ref="L19" authorId="2" shapeId="0" xr:uid="{D0C2D493-38DE-4131-B6B0-0076C3E5D4CF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L20" authorId="3" shapeId="0" xr:uid="{E0CF02BE-A20C-47F6-A7FC-8A1D08ED9B98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L24" authorId="4" shapeId="0" xr:uid="{E27CB7F2-8547-4005-95E7-E9274F270485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L25" authorId="5" shapeId="0" xr:uid="{711C679D-0482-4A21-ABAD-21B7A893FA0A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N25" authorId="1" shapeId="0" xr:uid="{AF9C1F0E-87DA-4892-80B0-72386BFA3104}">
      <text>
        <r>
          <rPr>
            <b/>
            <sz val="9"/>
            <color indexed="81"/>
            <rFont val="Tahoma"/>
            <family val="2"/>
          </rPr>
          <t>Andrew Iheanaetu:</t>
        </r>
        <r>
          <rPr>
            <sz val="9"/>
            <color indexed="81"/>
            <rFont val="Tahoma"/>
            <family val="2"/>
          </rPr>
          <t xml:space="preserve">
And family
</t>
        </r>
      </text>
    </comment>
    <comment ref="L46" authorId="6" shapeId="0" xr:uid="{17A77BB9-506E-4A27-82DC-8E2D80409AAC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L52" authorId="7" shapeId="0" xr:uid="{B5BB176B-0A04-4440-A37A-D967E783A49A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M58" authorId="8" shapeId="0" xr:uid="{B6DF1CAF-5ABC-4BEB-B927-A05C8FBD6639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M60" authorId="9" shapeId="0" xr:uid="{FE566E46-540C-46D7-95AE-DED3DBAEF336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M62" authorId="10" shapeId="0" xr:uid="{FAFEA387-0682-4C5C-8E0D-AF53F5FEA959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L63" authorId="11" shapeId="0" xr:uid="{53210F46-FC8E-4BF7-9946-03EA1BB36138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M65" authorId="12" shapeId="0" xr:uid="{F50961EE-1A1E-4CAF-9E60-EEB31258F1BB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with Permission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tc={EA0F9BC5-3F76-4625-B233-A314760DE0F1}</author>
    <author>tc={4B6144BB-1543-4059-BCE3-1453C65C879C}</author>
    <author>tc={A0765520-76ED-438E-B6B2-5AB67D0D16A2}</author>
    <author>tc={859440FB-D7D5-4BDD-B04C-DAB031AA6F9F}</author>
    <author>tc={9CEFD8E1-BD5B-4D6F-9C56-D31AA0C15C6E}</author>
    <author>tc={E6FF3B8D-312B-4A71-8151-8ACAACC65B16}</author>
    <author>Andrew Iheanaetu</author>
    <author>tc={7D4A0880-A43E-419D-8B45-B57B4E9C450D}</author>
    <author>tc={4FBF0BB9-2A10-4073-B622-018AD6F79F5A}</author>
    <author>tc={9EF78776-D03A-42A4-8EEE-7613425C30F3}</author>
    <author>tc={66A366F3-88FF-42C1-BA10-6376D4F39FE2}</author>
    <author>tc={8EB4A378-6F37-47F0-A273-41AA3DACC12A}</author>
  </authors>
  <commentList>
    <comment ref="G2" authorId="0" shapeId="0" xr:uid="{EA0F9BC5-3F76-4625-B233-A314760DE0F1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H5" authorId="1" shapeId="0" xr:uid="{4B6144BB-1543-4059-BCE3-1453C65C879C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G6" authorId="2" shapeId="0" xr:uid="{A0765520-76ED-438E-B6B2-5AB67D0D16A2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G7" authorId="3" shapeId="0" xr:uid="{859440FB-D7D5-4BDD-B04C-DAB031AA6F9F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G12" authorId="4" shapeId="0" xr:uid="{9CEFD8E1-BD5B-4D6F-9C56-D31AA0C15C6E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G48" authorId="5" shapeId="0" xr:uid="{E6FF3B8D-312B-4A71-8151-8ACAACC65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E55" authorId="6" shapeId="0" xr:uid="{B03A1D04-C36C-4A8B-8733-997B31AAF9B8}">
      <text>
        <r>
          <rPr>
            <b/>
            <sz val="9"/>
            <color indexed="81"/>
            <rFont val="Tahoma"/>
            <family val="2"/>
          </rPr>
          <t>Andrew Iheanaetu:</t>
        </r>
        <r>
          <rPr>
            <sz val="9"/>
            <color indexed="81"/>
            <rFont val="Tahoma"/>
            <family val="2"/>
          </rPr>
          <t xml:space="preserve">
Maternity?
</t>
        </r>
      </text>
    </comment>
    <comment ref="H56" authorId="7" shapeId="0" xr:uid="{7D4A0880-A43E-419D-8B45-B57B4E9C450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 with Permission</t>
      </text>
    </comment>
    <comment ref="G71" authorId="8" shapeId="0" xr:uid="{4FBF0BB9-2A10-4073-B622-018AD6F79F5A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H74" authorId="9" shapeId="0" xr:uid="{9EF78776-D03A-42A4-8EEE-7613425C30F3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H75" authorId="10" shapeId="0" xr:uid="{66A366F3-88FF-42C1-BA10-6376D4F39FE2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G79" authorId="11" shapeId="0" xr:uid="{8EB4A378-6F37-47F0-A273-41AA3DACC12A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Lateness Fee Paid</t>
      </text>
    </comment>
    <comment ref="I79" authorId="6" shapeId="0" xr:uid="{C7C2F991-1FD0-4E39-A58F-9304897734B5}">
      <text>
        <r>
          <rPr>
            <b/>
            <sz val="9"/>
            <color indexed="81"/>
            <rFont val="Tahoma"/>
            <family val="2"/>
          </rPr>
          <t>Andrew Iheanaetu:</t>
        </r>
        <r>
          <rPr>
            <sz val="9"/>
            <color indexed="81"/>
            <rFont val="Tahoma"/>
            <family val="2"/>
          </rPr>
          <t xml:space="preserve">
And family
</t>
        </r>
      </text>
    </comment>
  </commentList>
</comments>
</file>

<file path=xl/sharedStrings.xml><?xml version="1.0" encoding="utf-8"?>
<sst xmlns="http://schemas.openxmlformats.org/spreadsheetml/2006/main" count="1076" uniqueCount="405">
  <si>
    <t>Ezinne Ibe (Sis)</t>
  </si>
  <si>
    <t>Ugo Inyama (Bro)</t>
  </si>
  <si>
    <t>George Ibe (Bro)</t>
  </si>
  <si>
    <t>Blessing Emeka (Sis)</t>
  </si>
  <si>
    <t>Amaka Chukwudi (Sis)</t>
  </si>
  <si>
    <t>Anne Ajere (Sis)</t>
  </si>
  <si>
    <t>Justina Ogwuru (Sis)</t>
  </si>
  <si>
    <t>Kanis Igbokwe (Bro)</t>
  </si>
  <si>
    <t>Onuoha Agu (Bro)</t>
  </si>
  <si>
    <t>Onyemachi Ndubuka (Bro)</t>
  </si>
  <si>
    <t>Vine Chizoba Munonye (Sis)</t>
  </si>
  <si>
    <t>Chukwuemeka Kalu (Bro)</t>
  </si>
  <si>
    <t>Rose Inyama (Sis)</t>
  </si>
  <si>
    <t>Andrew Iheanaetu (Bro)</t>
  </si>
  <si>
    <t>Charles Tucker (Bro)</t>
  </si>
  <si>
    <t>Ann Tucker (Sis)</t>
  </si>
  <si>
    <t>Odilanma S Gabriel (Sis)</t>
  </si>
  <si>
    <t>Emmanuel Agba (Bro)</t>
  </si>
  <si>
    <t>Joy Chukwu (Sis)</t>
  </si>
  <si>
    <t>Oluchi Okoye (Sis)</t>
  </si>
  <si>
    <t>Grace Obison Stevens (Sis)</t>
  </si>
  <si>
    <t>Ikechi Chris Ogwuru (Bro)</t>
  </si>
  <si>
    <t>Kate James (Sis)</t>
  </si>
  <si>
    <t>Oyediya Uke</t>
  </si>
  <si>
    <t>Dan Kalu (Hon)</t>
  </si>
  <si>
    <r>
      <t xml:space="preserve">Peter </t>
    </r>
    <r>
      <rPr>
        <sz val="12"/>
        <color rgb="FFFF0000"/>
        <rFont val="Calibri"/>
        <family val="2"/>
      </rPr>
      <t>XXXX</t>
    </r>
    <r>
      <rPr>
        <sz val="12"/>
        <color theme="1"/>
        <rFont val="Calibri"/>
        <family val="2"/>
      </rPr>
      <t xml:space="preserve"> (Elder)</t>
    </r>
  </si>
  <si>
    <t>Total Attendance</t>
  </si>
  <si>
    <t>Names</t>
  </si>
  <si>
    <t>Chisom Williams</t>
  </si>
  <si>
    <t>Joy Francis</t>
  </si>
  <si>
    <t>Jeff Kalu</t>
  </si>
  <si>
    <t>Chukwuemeka Owen Munonye (Bro)</t>
  </si>
  <si>
    <t>Hardy Kalu Ogwougwa (Pastor)</t>
  </si>
  <si>
    <t>Ngozi Ekwunife Iheanaetu</t>
  </si>
  <si>
    <t>Gabriel Uba</t>
  </si>
  <si>
    <t>P E Agbai</t>
  </si>
  <si>
    <t>Jonathan Ajere</t>
  </si>
  <si>
    <t>Total</t>
  </si>
  <si>
    <t>Remarks</t>
  </si>
  <si>
    <t>No</t>
  </si>
  <si>
    <t>Linda Oby Kanu</t>
  </si>
  <si>
    <t>Regy Onu Kanu</t>
  </si>
  <si>
    <t>Onyinyechi Nwaogwugwu</t>
  </si>
  <si>
    <t>Chimaobi Nwankpa</t>
  </si>
  <si>
    <t>Nkebuifu Ebere Agu</t>
  </si>
  <si>
    <t>Ngozi Onwubiko</t>
  </si>
  <si>
    <t>Uzoma Oluwanbe</t>
  </si>
  <si>
    <t>Kelechi Njoku</t>
  </si>
  <si>
    <t>Prince Eme Kalu Mike (Bro)</t>
  </si>
  <si>
    <t>Chijioke Ibezim</t>
  </si>
  <si>
    <t>Paul Iroham Okoroafor</t>
  </si>
  <si>
    <t>Isaiah Kalu Awah(Bro)</t>
  </si>
  <si>
    <t>James Kalu</t>
  </si>
  <si>
    <t>Josephine Ellison Anyaele</t>
  </si>
  <si>
    <t>Esther Anya</t>
  </si>
  <si>
    <t>Chimaobi San Achilihu</t>
  </si>
  <si>
    <t>Iyke James (Mazi)</t>
  </si>
  <si>
    <t>Emeka Anyacho Onoh</t>
  </si>
  <si>
    <t>Chukwu Oko Chukwu (Bro)</t>
  </si>
  <si>
    <t>Nneka Achilihu</t>
  </si>
  <si>
    <t>Samuel Achilihu</t>
  </si>
  <si>
    <t>Esther Emeka</t>
  </si>
  <si>
    <t>Chioma Blessing Ndubuka (Sis)</t>
  </si>
  <si>
    <t>Ogbonna Innocent Ogwuru</t>
  </si>
  <si>
    <t>Christain Ogwuru</t>
  </si>
  <si>
    <t>DoB</t>
  </si>
  <si>
    <t>Mercy Arua</t>
  </si>
  <si>
    <t>Jecinta Ngozi Oged</t>
  </si>
  <si>
    <t>Felicia Ogbonnaya</t>
  </si>
  <si>
    <t>Ebere Daniel</t>
  </si>
  <si>
    <t>07823649025</t>
  </si>
  <si>
    <t>Ezinwanne Igba</t>
  </si>
  <si>
    <t>Goodness Igba</t>
  </si>
  <si>
    <t>07388541750</t>
  </si>
  <si>
    <t>07438557458</t>
  </si>
  <si>
    <t>Josephina I Anyaele</t>
  </si>
  <si>
    <t>07932837795</t>
  </si>
  <si>
    <t>Okechukwu Stanley Okeuhie</t>
  </si>
  <si>
    <t>07592273562</t>
  </si>
  <si>
    <t>Joy Ajere</t>
  </si>
  <si>
    <t>Mrs Chisom Williams</t>
  </si>
  <si>
    <t>Uyor E Obia</t>
  </si>
  <si>
    <t>0743833516</t>
  </si>
  <si>
    <t>Sunday Onuha</t>
  </si>
  <si>
    <t>Akudo Onuha</t>
  </si>
  <si>
    <t>07446398923</t>
  </si>
  <si>
    <t>Phone no</t>
  </si>
  <si>
    <t>07380850862</t>
  </si>
  <si>
    <t>Bede Nnadi (Mazi)</t>
  </si>
  <si>
    <t>07932887795</t>
  </si>
  <si>
    <t>Kennedy Nmecha Kalu</t>
  </si>
  <si>
    <t>Mercy Amos Uba</t>
  </si>
  <si>
    <t>07404966388</t>
  </si>
  <si>
    <t>07448530848</t>
  </si>
  <si>
    <t>Chukwuemeka Kalu A(Bro)</t>
  </si>
  <si>
    <t>No Whatsapp!</t>
  </si>
  <si>
    <t>Onuoha Chiedozie Samuel</t>
  </si>
  <si>
    <t>Chisom Thelma Williams</t>
  </si>
  <si>
    <t>Mercy Amos Gabriel Uba</t>
  </si>
  <si>
    <t>Arrived &gt;30mins late</t>
  </si>
  <si>
    <t>Present</t>
  </si>
  <si>
    <t>Absent</t>
  </si>
  <si>
    <t>KEY</t>
  </si>
  <si>
    <t>Apologies</t>
  </si>
  <si>
    <t>Bro Ugo Inyama</t>
  </si>
  <si>
    <t>Bro Prince Eme Kalu</t>
  </si>
  <si>
    <t>Sis Oluchi Okoye</t>
  </si>
  <si>
    <t>Bro Charles Tucker</t>
  </si>
  <si>
    <t>Chimaobi Sam</t>
  </si>
  <si>
    <t>Bro Andrew Iheanaetu</t>
  </si>
  <si>
    <t>Bro Isaiah Kalu</t>
  </si>
  <si>
    <t>Bro Chukwu Oko</t>
  </si>
  <si>
    <t>Bro Onuoha Kalu</t>
  </si>
  <si>
    <t>Bro Kanis Igbokwe</t>
  </si>
  <si>
    <t>Akachukwu Igbokwe</t>
  </si>
  <si>
    <t>07307132019 / +2348051738400</t>
  </si>
  <si>
    <t>Oluchi Okuje (Sis)</t>
  </si>
  <si>
    <t>Elizabeth Otuomasirichi Agu</t>
  </si>
  <si>
    <t>Godwin Ndubueze</t>
  </si>
  <si>
    <t>Joy Igwe</t>
  </si>
  <si>
    <t>Sylvia Ndubueze</t>
  </si>
  <si>
    <t>07407814554</t>
  </si>
  <si>
    <t>Akudo Gaby Onuha</t>
  </si>
  <si>
    <t>Amaka Chisom Williams</t>
  </si>
  <si>
    <t>Chinyere Odefa</t>
  </si>
  <si>
    <t>07466402979</t>
  </si>
  <si>
    <t>Average</t>
  </si>
  <si>
    <t>Chimka Ama Kalu</t>
  </si>
  <si>
    <t>A</t>
  </si>
  <si>
    <t>Odilanma Sandra Gabriel (Sis)</t>
  </si>
  <si>
    <t>Amuche Nnadi</t>
  </si>
  <si>
    <t>07424694537</t>
  </si>
  <si>
    <t>Uzodinma  Omekara</t>
  </si>
  <si>
    <t>Kelechi Omekara</t>
  </si>
  <si>
    <t>John Emeka Okezie</t>
  </si>
  <si>
    <t>Angela Ogwugwa</t>
  </si>
  <si>
    <t>Stella Achilihu</t>
  </si>
  <si>
    <t xml:space="preserve">Olumba Steven Odinaka </t>
  </si>
  <si>
    <t>Blessing Chioma Ndubuka (Sis)</t>
  </si>
  <si>
    <t>Uche Adiele</t>
  </si>
  <si>
    <t>Chinweizu Joseph</t>
  </si>
  <si>
    <t>TBC</t>
  </si>
  <si>
    <t>Ngozi Jacinta Oged</t>
  </si>
  <si>
    <t>Odinakachi Ndubuka</t>
  </si>
  <si>
    <t>Ikechukwu Amankulor</t>
  </si>
  <si>
    <t>Ndubuka Adaku</t>
  </si>
  <si>
    <t>Blessing Uke</t>
  </si>
  <si>
    <t>Chibu Uchendu</t>
  </si>
  <si>
    <t>Uko Ekanem</t>
  </si>
  <si>
    <t>Ngozi Moneke</t>
  </si>
  <si>
    <t>Chinyere Anyanwoka Uko</t>
  </si>
  <si>
    <t>Isiala Ngwa</t>
  </si>
  <si>
    <t xml:space="preserve">Ifeanyi Williams </t>
  </si>
  <si>
    <t>Roseline Kalu (Blossom)</t>
  </si>
  <si>
    <t>Ngozi Ogbonna</t>
  </si>
  <si>
    <t>Nwojo Ibe Ikerighi</t>
  </si>
  <si>
    <t>07918197543</t>
  </si>
  <si>
    <t>07867470651</t>
  </si>
  <si>
    <t>07591346187</t>
  </si>
  <si>
    <t>Ikechukwu Francis Amankulor</t>
  </si>
  <si>
    <t>Ogbonna Ajiwe</t>
  </si>
  <si>
    <t>Chukwuemeka Adiele</t>
  </si>
  <si>
    <t>Chris Chilee</t>
  </si>
  <si>
    <t>07742955978</t>
  </si>
  <si>
    <t>Anthony Mgbarine</t>
  </si>
  <si>
    <t>Prince Uche Adiele</t>
  </si>
  <si>
    <t>Steven Odinaka Olumba</t>
  </si>
  <si>
    <t>Chinyere Ibezim</t>
  </si>
  <si>
    <t>Ngozi Onwubiko Amakulor</t>
  </si>
  <si>
    <t>Stella Nneka Achilihu</t>
  </si>
  <si>
    <t>Chidi Illo</t>
  </si>
  <si>
    <t>Chioma Illo</t>
  </si>
  <si>
    <t>Chinyerem Chigbundu</t>
  </si>
  <si>
    <t>07394026279</t>
  </si>
  <si>
    <t>07436905730</t>
  </si>
  <si>
    <t>07903385851</t>
  </si>
  <si>
    <t>Kanis N Igbokwe (Bro)</t>
  </si>
  <si>
    <t>Esther Emeka Onuha</t>
  </si>
  <si>
    <t>Joy Ajere Francis</t>
  </si>
  <si>
    <t>Kalibe Ogechi</t>
  </si>
  <si>
    <t>Akudu Onyinyechi</t>
  </si>
  <si>
    <t>Chibueze Uchendu</t>
  </si>
  <si>
    <t>Chris Imo</t>
  </si>
  <si>
    <t>07445953287</t>
  </si>
  <si>
    <t>Surname</t>
  </si>
  <si>
    <t>First Name</t>
  </si>
  <si>
    <t xml:space="preserve">Achilihu </t>
  </si>
  <si>
    <t xml:space="preserve">Adiele </t>
  </si>
  <si>
    <t>Agu</t>
  </si>
  <si>
    <t>Ajere</t>
  </si>
  <si>
    <t>Ajiwe</t>
  </si>
  <si>
    <t xml:space="preserve">Ogbonna </t>
  </si>
  <si>
    <t>Ama-Kalu</t>
  </si>
  <si>
    <t>Chimka</t>
  </si>
  <si>
    <t>Amankulor</t>
  </si>
  <si>
    <t>Anya</t>
  </si>
  <si>
    <t>Esther</t>
  </si>
  <si>
    <t>Anyaele</t>
  </si>
  <si>
    <t>Arua</t>
  </si>
  <si>
    <t>Mercy</t>
  </si>
  <si>
    <t>Chile</t>
  </si>
  <si>
    <t>Christopher</t>
  </si>
  <si>
    <t>Emeka</t>
  </si>
  <si>
    <t>Francis</t>
  </si>
  <si>
    <t xml:space="preserve">Joy </t>
  </si>
  <si>
    <t>Gabriel</t>
  </si>
  <si>
    <t>Sandra Odilanma</t>
  </si>
  <si>
    <t>Ibe</t>
  </si>
  <si>
    <t>Ibezim</t>
  </si>
  <si>
    <t>Igba</t>
  </si>
  <si>
    <t>Igbokwe</t>
  </si>
  <si>
    <t>Nkem Kanis</t>
  </si>
  <si>
    <t>Iheanaetu</t>
  </si>
  <si>
    <t>Inyama</t>
  </si>
  <si>
    <t>James</t>
  </si>
  <si>
    <t>Kalu</t>
  </si>
  <si>
    <t>Dan</t>
  </si>
  <si>
    <t>Kanu</t>
  </si>
  <si>
    <t>Mgbarine</t>
  </si>
  <si>
    <t>Anthony</t>
  </si>
  <si>
    <t>Ndubeze</t>
  </si>
  <si>
    <t>Ndubuka</t>
  </si>
  <si>
    <t>Odinaka</t>
  </si>
  <si>
    <t>Njoku</t>
  </si>
  <si>
    <t>Kelechi</t>
  </si>
  <si>
    <t>Nmecha</t>
  </si>
  <si>
    <t>Kennedy</t>
  </si>
  <si>
    <t>Nnadi</t>
  </si>
  <si>
    <t>Nwankpa</t>
  </si>
  <si>
    <t>Chimaobi</t>
  </si>
  <si>
    <t>Nwaogwugwu</t>
  </si>
  <si>
    <t>Onyinyechi</t>
  </si>
  <si>
    <t>Ogbonna</t>
  </si>
  <si>
    <t>Felicia</t>
  </si>
  <si>
    <t>Oged</t>
  </si>
  <si>
    <t>Ngozi</t>
  </si>
  <si>
    <t>Ogwougwa</t>
  </si>
  <si>
    <t>Kalu Hardy</t>
  </si>
  <si>
    <t>Ogwuru</t>
  </si>
  <si>
    <t>Oko Chukwu</t>
  </si>
  <si>
    <t>Okoroafor</t>
  </si>
  <si>
    <t>Okoye</t>
  </si>
  <si>
    <t>Oluchi</t>
  </si>
  <si>
    <t>Olumba</t>
  </si>
  <si>
    <t>Odinaka Steven</t>
  </si>
  <si>
    <t>Oluwanbe</t>
  </si>
  <si>
    <t>Uzoma Violet</t>
  </si>
  <si>
    <t>Omekara</t>
  </si>
  <si>
    <t>Onuoha</t>
  </si>
  <si>
    <t>Anyacho Emeka</t>
  </si>
  <si>
    <t>Stevens</t>
  </si>
  <si>
    <t>Grace Obison</t>
  </si>
  <si>
    <t>Tucker</t>
  </si>
  <si>
    <t>Uba</t>
  </si>
  <si>
    <t>Uchendu</t>
  </si>
  <si>
    <t>Chibueze</t>
  </si>
  <si>
    <t>Uke</t>
  </si>
  <si>
    <t>Oyediya Blessing</t>
  </si>
  <si>
    <t>Williams</t>
  </si>
  <si>
    <t>Jonathan</t>
  </si>
  <si>
    <t>John</t>
  </si>
  <si>
    <t>George</t>
  </si>
  <si>
    <t>Chinyere</t>
  </si>
  <si>
    <t>Goodness</t>
  </si>
  <si>
    <t>Ugo</t>
  </si>
  <si>
    <t>Kate</t>
  </si>
  <si>
    <t>Reggy</t>
  </si>
  <si>
    <t>Vine</t>
  </si>
  <si>
    <t>Sylvia</t>
  </si>
  <si>
    <t xml:space="preserve">Bede </t>
  </si>
  <si>
    <t>Innocent</t>
  </si>
  <si>
    <t>Justina</t>
  </si>
  <si>
    <t>Joy</t>
  </si>
  <si>
    <t>Akudo</t>
  </si>
  <si>
    <t>Ann</t>
  </si>
  <si>
    <t>Uzunma Mercy</t>
  </si>
  <si>
    <t>Amaka</t>
  </si>
  <si>
    <t xml:space="preserve">Chimaobi Sam </t>
  </si>
  <si>
    <t xml:space="preserve">Anne </t>
  </si>
  <si>
    <t>Blossom</t>
  </si>
  <si>
    <t>Ikechukwu</t>
  </si>
  <si>
    <t>Elyson I</t>
  </si>
  <si>
    <t>Blessing</t>
  </si>
  <si>
    <t>Ezinne</t>
  </si>
  <si>
    <t>Chijioke</t>
  </si>
  <si>
    <t>Ezinwanne</t>
  </si>
  <si>
    <t>Andrew</t>
  </si>
  <si>
    <t>Rose</t>
  </si>
  <si>
    <t>Ikenna</t>
  </si>
  <si>
    <t>Linda Oby</t>
  </si>
  <si>
    <t>Goodwin</t>
  </si>
  <si>
    <t>Amuche</t>
  </si>
  <si>
    <t>Chukwu</t>
  </si>
  <si>
    <t>Sunday</t>
  </si>
  <si>
    <t>Charles</t>
  </si>
  <si>
    <t>Onuha</t>
  </si>
  <si>
    <t>Chioma Blessing</t>
  </si>
  <si>
    <t>Chisom Thelma</t>
  </si>
  <si>
    <t>Chukwuemeka</t>
  </si>
  <si>
    <t>Munonye</t>
  </si>
  <si>
    <t>Maclighting Emeka Owen</t>
  </si>
  <si>
    <t>Elizabeth Otuomasirichi</t>
  </si>
  <si>
    <t>Chris Ikechi</t>
  </si>
  <si>
    <t>Isaiah Awah</t>
  </si>
  <si>
    <t>Ngozi Ekwunife</t>
  </si>
  <si>
    <t>Ngozi Jacinta</t>
  </si>
  <si>
    <t>Chidozie Samuel</t>
  </si>
  <si>
    <t>Prince Eme Mike</t>
  </si>
  <si>
    <t>Uzodinma</t>
  </si>
  <si>
    <t>Uchechukwu Prince</t>
  </si>
  <si>
    <t>Paul Iroham</t>
  </si>
  <si>
    <t>Nkebuife Ebere</t>
  </si>
  <si>
    <t>Ogbonnaya</t>
  </si>
  <si>
    <t>Stella Nneka</t>
  </si>
  <si>
    <t>Observers / Prospective Member</t>
  </si>
  <si>
    <t>Adaku</t>
  </si>
  <si>
    <t xml:space="preserve">Ndubuka </t>
  </si>
  <si>
    <t xml:space="preserve">Chukwuemeka </t>
  </si>
  <si>
    <t>Adiele</t>
  </si>
  <si>
    <t xml:space="preserve">Nwojo Ibe </t>
  </si>
  <si>
    <t>Ikerighi</t>
  </si>
  <si>
    <t xml:space="preserve">Chidi </t>
  </si>
  <si>
    <t>Illo</t>
  </si>
  <si>
    <t>Chioma</t>
  </si>
  <si>
    <t>Chinyerem</t>
  </si>
  <si>
    <t>Ogechi</t>
  </si>
  <si>
    <t xml:space="preserve">Kalibe </t>
  </si>
  <si>
    <t xml:space="preserve">Akudu </t>
  </si>
  <si>
    <t>Chris</t>
  </si>
  <si>
    <t>Imoh</t>
  </si>
  <si>
    <t>Josephina</t>
  </si>
  <si>
    <t>Angela</t>
  </si>
  <si>
    <t>Chigbundu</t>
  </si>
  <si>
    <t>David-Chibuzor</t>
  </si>
  <si>
    <t>Racheal</t>
  </si>
  <si>
    <t>07776727141</t>
  </si>
  <si>
    <t>Chibuzor</t>
  </si>
  <si>
    <t>Eluwa David</t>
  </si>
  <si>
    <t>07776706258</t>
  </si>
  <si>
    <t xml:space="preserve">Chinyere </t>
  </si>
  <si>
    <t>Ibeh</t>
  </si>
  <si>
    <t>07501990131</t>
  </si>
  <si>
    <t>07440098591</t>
  </si>
  <si>
    <t>Iroanya</t>
  </si>
  <si>
    <t>Lucy</t>
  </si>
  <si>
    <t>Peace</t>
  </si>
  <si>
    <t>07307130247</t>
  </si>
  <si>
    <t>07401485117</t>
  </si>
  <si>
    <t>Edith Ego</t>
  </si>
  <si>
    <t>07564924066</t>
  </si>
  <si>
    <t>Total Attendance (Members)</t>
  </si>
  <si>
    <t>Registered</t>
  </si>
  <si>
    <t>Manata</t>
  </si>
  <si>
    <t>Prince Alexander</t>
  </si>
  <si>
    <t>Emeka Toffman</t>
  </si>
  <si>
    <t>Livingstone</t>
  </si>
  <si>
    <t>Emezue</t>
  </si>
  <si>
    <t>Godwin</t>
  </si>
  <si>
    <t>Chris Obinali</t>
  </si>
  <si>
    <t>Ogwuegbu</t>
  </si>
  <si>
    <t>Paul</t>
  </si>
  <si>
    <t>Chinedu</t>
  </si>
  <si>
    <t>Onyemachi</t>
  </si>
  <si>
    <t>07394022371</t>
  </si>
  <si>
    <t>06th april</t>
  </si>
  <si>
    <t>Chukwunenye</t>
  </si>
  <si>
    <t xml:space="preserve">Mikael </t>
  </si>
  <si>
    <t>Ifeoma</t>
  </si>
  <si>
    <t>Anele-Ukeje</t>
  </si>
  <si>
    <t>Chibuikem</t>
  </si>
  <si>
    <t>Onyeabo</t>
  </si>
  <si>
    <t>Nkeiruka</t>
  </si>
  <si>
    <t>Ihuoma Miriam</t>
  </si>
  <si>
    <t>07459838396</t>
  </si>
  <si>
    <t>remove?</t>
  </si>
  <si>
    <t>Total  (Visitors/Observers/Prospective)</t>
  </si>
  <si>
    <t>Uzunma Mercy Gabriel</t>
  </si>
  <si>
    <t>Data Captured</t>
  </si>
  <si>
    <t>Solomon</t>
  </si>
  <si>
    <t>Ego Edith</t>
  </si>
  <si>
    <t>Chinyere Juliet</t>
  </si>
  <si>
    <t>Chijioke Uzochi Ibekwe</t>
  </si>
  <si>
    <t>Ezekwe</t>
  </si>
  <si>
    <t>Nwaogwugwu Ohajuru</t>
  </si>
  <si>
    <t>F</t>
  </si>
  <si>
    <t>Reggy Onu</t>
  </si>
  <si>
    <t>Roseline Blossom</t>
  </si>
  <si>
    <t>Ihuoma Mirian</t>
  </si>
  <si>
    <t>Godson Chimeremeze</t>
  </si>
  <si>
    <t>Benjamin</t>
  </si>
  <si>
    <t>Nwogu</t>
  </si>
  <si>
    <t>Nkechi</t>
  </si>
  <si>
    <t>Pst Kalu Hardy</t>
  </si>
  <si>
    <t>Pst Mrs Angela Kalu</t>
  </si>
  <si>
    <t>Ositaike</t>
  </si>
  <si>
    <t>Uka</t>
  </si>
  <si>
    <t>Ugo (Mrs)</t>
  </si>
  <si>
    <t>Mba</t>
  </si>
  <si>
    <t>Isealife</t>
  </si>
  <si>
    <t>Chinyere Onyike</t>
  </si>
  <si>
    <t>Nwojo</t>
  </si>
  <si>
    <t>Chijioke (Cj)</t>
  </si>
  <si>
    <t>Udeogu</t>
  </si>
  <si>
    <t>07352629272</t>
  </si>
  <si>
    <t>Ujahchuku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</si>
</sst>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dd/mm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</font>
    <font>
      <sz val="12"/>
      <color rgb="FF00B0F0"/>
      <name val="Calibri"/>
      <family val="2"/>
    </font>
    <font>
      <sz val="12"/>
      <name val="Calibri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1" fillId="0" borderId="3" xfId="0" applyNumberFormat="1" applyFont="1" applyBorder="1" applyAlignment="1">
      <alignment horizontal="left" vertical="center" textRotation="90"/>
    </xf>
    <xf numFmtId="14" fontId="1" fillId="0" borderId="4" xfId="0" applyNumberFormat="1" applyFont="1" applyBorder="1" applyAlignment="1">
      <alignment horizontal="left" vertical="center" textRotation="90"/>
    </xf>
    <xf numFmtId="0" fontId="4" fillId="0" borderId="0" xfId="0" applyFont="1"/>
    <xf numFmtId="164" fontId="6" fillId="0" borderId="3" xfId="0" applyNumberFormat="1" applyFont="1" applyBorder="1" applyAlignment="1">
      <alignment horizontal="left" vertical="center" textRotation="90"/>
    </xf>
    <xf numFmtId="0" fontId="5" fillId="0" borderId="2" xfId="0" applyFont="1" applyBorder="1"/>
    <xf numFmtId="0" fontId="5" fillId="0" borderId="3" xfId="0" applyFont="1" applyBorder="1"/>
    <xf numFmtId="0" fontId="0" fillId="4" borderId="1" xfId="0" applyFill="1" applyBorder="1"/>
    <xf numFmtId="0" fontId="1" fillId="0" borderId="8" xfId="0" applyFont="1" applyBorder="1"/>
    <xf numFmtId="0" fontId="0" fillId="5" borderId="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1" xfId="0" applyFont="1" applyBorder="1" applyAlignment="1">
      <alignment vertical="center"/>
    </xf>
    <xf numFmtId="0" fontId="0" fillId="2" borderId="11" xfId="0" applyFill="1" applyBorder="1"/>
    <xf numFmtId="0" fontId="0" fillId="5" borderId="11" xfId="0" applyFill="1" applyBorder="1"/>
    <xf numFmtId="0" fontId="0" fillId="4" borderId="11" xfId="0" applyFill="1" applyBorder="1"/>
    <xf numFmtId="16" fontId="0" fillId="0" borderId="0" xfId="0" applyNumberFormat="1"/>
    <xf numFmtId="0" fontId="0" fillId="3" borderId="11" xfId="0" applyFill="1" applyBorder="1"/>
    <xf numFmtId="164" fontId="6" fillId="6" borderId="3" xfId="0" applyNumberFormat="1" applyFont="1" applyFill="1" applyBorder="1" applyAlignment="1">
      <alignment horizontal="left" vertical="center" textRotation="90"/>
    </xf>
    <xf numFmtId="0" fontId="0" fillId="6" borderId="1" xfId="0" applyFill="1" applyBorder="1"/>
    <xf numFmtId="0" fontId="0" fillId="6" borderId="11" xfId="0" applyFill="1" applyBorder="1"/>
    <xf numFmtId="0" fontId="0" fillId="0" borderId="0" xfId="0" quotePrefix="1"/>
    <xf numFmtId="16" fontId="0" fillId="0" borderId="0" xfId="0" quotePrefix="1" applyNumberFormat="1"/>
    <xf numFmtId="0" fontId="9" fillId="0" borderId="0" xfId="0" quotePrefix="1" applyFont="1"/>
    <xf numFmtId="164" fontId="6" fillId="0" borderId="3" xfId="0" applyNumberFormat="1" applyFont="1" applyBorder="1" applyAlignment="1">
      <alignment horizontal="left" vertical="top" textRotation="90"/>
    </xf>
    <xf numFmtId="0" fontId="0" fillId="0" borderId="0" xfId="0" applyAlignment="1">
      <alignment vertical="center"/>
    </xf>
    <xf numFmtId="0" fontId="0" fillId="7" borderId="0" xfId="0" applyFill="1"/>
    <xf numFmtId="0" fontId="0" fillId="7" borderId="1" xfId="0" applyFill="1" applyBorder="1"/>
    <xf numFmtId="0" fontId="10" fillId="0" borderId="13" xfId="0" applyFont="1" applyBorder="1" applyAlignment="1">
      <alignment horizontal="justify" vertical="center" wrapText="1"/>
    </xf>
    <xf numFmtId="0" fontId="10" fillId="0" borderId="14" xfId="0" applyFont="1" applyBorder="1" applyAlignment="1">
      <alignment horizontal="justify" vertical="center" wrapText="1"/>
    </xf>
    <xf numFmtId="0" fontId="10" fillId="0" borderId="15" xfId="0" applyFont="1" applyBorder="1" applyAlignment="1">
      <alignment horizontal="justify" vertical="center" wrapText="1"/>
    </xf>
    <xf numFmtId="6" fontId="0" fillId="0" borderId="0" xfId="0" applyNumberFormat="1"/>
    <xf numFmtId="6" fontId="10" fillId="0" borderId="16" xfId="0" applyNumberFormat="1" applyFont="1" applyBorder="1" applyAlignment="1">
      <alignment horizontal="justify" vertical="center" wrapText="1"/>
    </xf>
    <xf numFmtId="0" fontId="10" fillId="0" borderId="16" xfId="0" applyFont="1" applyBorder="1" applyAlignment="1">
      <alignment horizontal="justify" vertical="center" wrapText="1"/>
    </xf>
    <xf numFmtId="0" fontId="0" fillId="7" borderId="11" xfId="0" applyFill="1" applyBorder="1"/>
    <xf numFmtId="164" fontId="4" fillId="0" borderId="3" xfId="0" applyNumberFormat="1" applyFont="1" applyBorder="1" applyAlignment="1">
      <alignment horizontal="left" vertical="top" textRotation="90"/>
    </xf>
    <xf numFmtId="164" fontId="4" fillId="0" borderId="3" xfId="0" applyNumberFormat="1" applyFont="1" applyBorder="1" applyAlignment="1">
      <alignment horizontal="right" vertical="top" textRotation="90"/>
    </xf>
    <xf numFmtId="0" fontId="0" fillId="0" borderId="17" xfId="0" applyBorder="1"/>
    <xf numFmtId="0" fontId="1" fillId="0" borderId="18" xfId="0" applyFont="1" applyBorder="1"/>
    <xf numFmtId="0" fontId="0" fillId="0" borderId="18" xfId="0" applyBorder="1"/>
    <xf numFmtId="1" fontId="0" fillId="0" borderId="19" xfId="0" applyNumberFormat="1" applyBorder="1"/>
    <xf numFmtId="0" fontId="12" fillId="0" borderId="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0" fillId="0" borderId="20" xfId="0" applyBorder="1"/>
    <xf numFmtId="0" fontId="11" fillId="0" borderId="21" xfId="0" applyFont="1" applyBorder="1" applyAlignment="1">
      <alignment vertical="center"/>
    </xf>
    <xf numFmtId="0" fontId="0" fillId="0" borderId="21" xfId="0" applyBorder="1"/>
    <xf numFmtId="0" fontId="0" fillId="4" borderId="21" xfId="0" applyFill="1" applyBorder="1"/>
    <xf numFmtId="0" fontId="0" fillId="0" borderId="22" xfId="0" applyBorder="1"/>
    <xf numFmtId="0" fontId="0" fillId="2" borderId="23" xfId="0" applyFill="1" applyBorder="1"/>
    <xf numFmtId="0" fontId="0" fillId="5" borderId="23" xfId="0" applyFill="1" applyBorder="1"/>
    <xf numFmtId="0" fontId="0" fillId="0" borderId="23" xfId="0" applyBorder="1"/>
    <xf numFmtId="0" fontId="0" fillId="4" borderId="23" xfId="0" applyFill="1" applyBorder="1"/>
    <xf numFmtId="164" fontId="4" fillId="0" borderId="24" xfId="0" applyNumberFormat="1" applyFont="1" applyBorder="1" applyAlignment="1">
      <alignment horizontal="right" vertical="top" textRotation="90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8" borderId="11" xfId="0" applyFont="1" applyFill="1" applyBorder="1" applyAlignment="1">
      <alignment vertical="center"/>
    </xf>
    <xf numFmtId="0" fontId="0" fillId="3" borderId="23" xfId="0" applyFill="1" applyBorder="1"/>
    <xf numFmtId="0" fontId="11" fillId="0" borderId="1" xfId="0" applyFont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1" xfId="0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0" fillId="0" borderId="28" xfId="0" applyBorder="1"/>
    <xf numFmtId="0" fontId="0" fillId="0" borderId="29" xfId="0" applyBorder="1"/>
    <xf numFmtId="0" fontId="11" fillId="0" borderId="23" xfId="0" applyFont="1" applyBorder="1" applyAlignment="1">
      <alignment vertical="center"/>
    </xf>
    <xf numFmtId="0" fontId="0" fillId="0" borderId="30" xfId="0" applyBorder="1"/>
    <xf numFmtId="0" fontId="12" fillId="0" borderId="23" xfId="0" applyFont="1" applyBorder="1" applyAlignment="1">
      <alignment vertical="center"/>
    </xf>
    <xf numFmtId="0" fontId="14" fillId="0" borderId="11" xfId="0" applyFont="1" applyBorder="1" applyAlignment="1">
      <alignment horizontal="left" vertical="center"/>
    </xf>
    <xf numFmtId="0" fontId="0" fillId="0" borderId="31" xfId="0" applyBorder="1"/>
    <xf numFmtId="0" fontId="14" fillId="0" borderId="31" xfId="0" applyFont="1" applyBorder="1" applyAlignment="1">
      <alignment horizontal="left" vertical="center"/>
    </xf>
    <xf numFmtId="0" fontId="0" fillId="3" borderId="31" xfId="0" applyFill="1" applyBorder="1"/>
    <xf numFmtId="0" fontId="15" fillId="9" borderId="3" xfId="0" applyFont="1" applyFill="1" applyBorder="1" applyAlignment="1">
      <alignment horizontal="left" vertical="center"/>
    </xf>
    <xf numFmtId="0" fontId="0" fillId="9" borderId="3" xfId="0" applyFill="1" applyBorder="1"/>
    <xf numFmtId="0" fontId="0" fillId="9" borderId="4" xfId="0" applyFill="1" applyBorder="1"/>
    <xf numFmtId="0" fontId="15" fillId="9" borderId="8" xfId="0" applyFont="1" applyFill="1" applyBorder="1" applyAlignment="1">
      <alignment horizontal="left" vertical="center"/>
    </xf>
    <xf numFmtId="0" fontId="0" fillId="3" borderId="8" xfId="0" applyFill="1" applyBorder="1"/>
    <xf numFmtId="0" fontId="0" fillId="2" borderId="8" xfId="0" applyFill="1" applyBorder="1"/>
    <xf numFmtId="0" fontId="0" fillId="9" borderId="8" xfId="0" applyFill="1" applyBorder="1"/>
    <xf numFmtId="0" fontId="0" fillId="9" borderId="9" xfId="0" applyFill="1" applyBorder="1"/>
    <xf numFmtId="0" fontId="14" fillId="0" borderId="23" xfId="0" applyFont="1" applyBorder="1" applyAlignment="1">
      <alignment horizontal="left" vertical="center"/>
    </xf>
    <xf numFmtId="0" fontId="14" fillId="9" borderId="3" xfId="0" applyFont="1" applyFill="1" applyBorder="1" applyAlignment="1">
      <alignment horizontal="left" vertical="center"/>
    </xf>
    <xf numFmtId="0" fontId="0" fillId="5" borderId="3" xfId="0" applyFill="1" applyBorder="1"/>
    <xf numFmtId="0" fontId="0" fillId="3" borderId="3" xfId="0" applyFill="1" applyBorder="1"/>
    <xf numFmtId="0" fontId="0" fillId="2" borderId="3" xfId="0" applyFill="1" applyBorder="1"/>
    <xf numFmtId="0" fontId="14" fillId="9" borderId="8" xfId="0" applyFont="1" applyFill="1" applyBorder="1" applyAlignment="1">
      <alignment horizontal="left" vertical="center"/>
    </xf>
    <xf numFmtId="0" fontId="0" fillId="5" borderId="8" xfId="0" applyFill="1" applyBorder="1"/>
    <xf numFmtId="0" fontId="0" fillId="7" borderId="23" xfId="0" applyFill="1" applyBorder="1"/>
    <xf numFmtId="0" fontId="0" fillId="0" borderId="3" xfId="0" applyBorder="1"/>
    <xf numFmtId="0" fontId="0" fillId="9" borderId="11" xfId="0" applyFill="1" applyBorder="1"/>
    <xf numFmtId="0" fontId="14" fillId="9" borderId="11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0" fillId="0" borderId="4" xfId="0" applyBorder="1"/>
    <xf numFmtId="0" fontId="14" fillId="0" borderId="8" xfId="0" applyFont="1" applyBorder="1" applyAlignment="1">
      <alignment horizontal="left" vertic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left"/>
    </xf>
    <xf numFmtId="0" fontId="0" fillId="5" borderId="31" xfId="0" applyFill="1" applyBorder="1"/>
    <xf numFmtId="0" fontId="0" fillId="2" borderId="31" xfId="0" applyFill="1" applyBorder="1"/>
    <xf numFmtId="0" fontId="0" fillId="9" borderId="31" xfId="0" applyFill="1" applyBorder="1"/>
    <xf numFmtId="0" fontId="14" fillId="9" borderId="31" xfId="0" applyFont="1" applyFill="1" applyBorder="1" applyAlignment="1">
      <alignment horizontal="left" vertical="center"/>
    </xf>
    <xf numFmtId="0" fontId="0" fillId="7" borderId="3" xfId="0" applyFill="1" applyBorder="1"/>
    <xf numFmtId="0" fontId="0" fillId="0" borderId="37" xfId="0" applyBorder="1"/>
    <xf numFmtId="0" fontId="0" fillId="9" borderId="12" xfId="0" applyFill="1" applyBorder="1"/>
    <xf numFmtId="0" fontId="0" fillId="9" borderId="37" xfId="0" applyFill="1" applyBorder="1"/>
    <xf numFmtId="164" fontId="4" fillId="0" borderId="34" xfId="0" applyNumberFormat="1" applyFont="1" applyBorder="1" applyAlignment="1">
      <alignment horizontal="left" textRotation="90"/>
    </xf>
    <xf numFmtId="14" fontId="1" fillId="0" borderId="35" xfId="0" applyNumberFormat="1" applyFont="1" applyBorder="1" applyAlignment="1">
      <alignment horizontal="left" textRotation="90"/>
    </xf>
    <xf numFmtId="0" fontId="14" fillId="9" borderId="23" xfId="0" applyFont="1" applyFill="1" applyBorder="1" applyAlignment="1">
      <alignment horizontal="left" vertical="center"/>
    </xf>
    <xf numFmtId="0" fontId="0" fillId="9" borderId="23" xfId="0" applyFill="1" applyBorder="1"/>
    <xf numFmtId="0" fontId="0" fillId="9" borderId="30" xfId="0" applyFill="1" applyBorder="1"/>
    <xf numFmtId="0" fontId="5" fillId="0" borderId="32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0" borderId="1" xfId="0" applyFont="1" applyFill="1" applyBorder="1" applyAlignment="1">
      <alignment vertical="center"/>
    </xf>
    <xf numFmtId="0" fontId="16" fillId="10" borderId="1" xfId="0" applyFont="1" applyFill="1" applyBorder="1"/>
    <xf numFmtId="0" fontId="16" fillId="4" borderId="1" xfId="0" applyFont="1" applyFill="1" applyBorder="1"/>
    <xf numFmtId="0" fontId="17" fillId="0" borderId="11" xfId="0" applyFont="1" applyBorder="1" applyAlignment="1">
      <alignment horizontal="left"/>
    </xf>
    <xf numFmtId="0" fontId="16" fillId="10" borderId="2" xfId="0" applyFont="1" applyFill="1" applyBorder="1"/>
    <xf numFmtId="0" fontId="12" fillId="10" borderId="3" xfId="0" applyFont="1" applyFill="1" applyBorder="1" applyAlignment="1">
      <alignment vertical="center"/>
    </xf>
    <xf numFmtId="0" fontId="16" fillId="10" borderId="3" xfId="0" applyFont="1" applyFill="1" applyBorder="1"/>
    <xf numFmtId="0" fontId="16" fillId="4" borderId="3" xfId="0" applyFont="1" applyFill="1" applyBorder="1"/>
    <xf numFmtId="0" fontId="16" fillId="10" borderId="4" xfId="0" applyFont="1" applyFill="1" applyBorder="1"/>
    <xf numFmtId="0" fontId="16" fillId="10" borderId="5" xfId="0" applyFont="1" applyFill="1" applyBorder="1"/>
    <xf numFmtId="0" fontId="16" fillId="10" borderId="6" xfId="0" applyFont="1" applyFill="1" applyBorder="1"/>
    <xf numFmtId="0" fontId="16" fillId="10" borderId="10" xfId="0" applyFont="1" applyFill="1" applyBorder="1"/>
    <xf numFmtId="0" fontId="16" fillId="10" borderId="11" xfId="0" applyFont="1" applyFill="1" applyBorder="1"/>
    <xf numFmtId="0" fontId="16" fillId="10" borderId="12" xfId="0" applyFont="1" applyFill="1" applyBorder="1"/>
    <xf numFmtId="0" fontId="0" fillId="10" borderId="18" xfId="0" applyFill="1" applyBorder="1"/>
    <xf numFmtId="0" fontId="0" fillId="10" borderId="19" xfId="0" applyFill="1" applyBorder="1"/>
    <xf numFmtId="0" fontId="0" fillId="9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31" xfId="0" applyFill="1" applyBorder="1"/>
    <xf numFmtId="0" fontId="0" fillId="4" borderId="31" xfId="0" applyFill="1" applyBorder="1"/>
    <xf numFmtId="0" fontId="0" fillId="9" borderId="17" xfId="0" applyFill="1" applyBorder="1" applyAlignment="1">
      <alignment horizontal="center" vertical="center"/>
    </xf>
    <xf numFmtId="0" fontId="14" fillId="9" borderId="18" xfId="0" applyFont="1" applyFill="1" applyBorder="1" applyAlignment="1">
      <alignment horizontal="left" vertical="center"/>
    </xf>
    <xf numFmtId="0" fontId="0" fillId="4" borderId="18" xfId="0" applyFill="1" applyBorder="1"/>
    <xf numFmtId="0" fontId="0" fillId="5" borderId="18" xfId="0" applyFill="1" applyBorder="1"/>
    <xf numFmtId="0" fontId="0" fillId="2" borderId="18" xfId="0" applyFill="1" applyBorder="1"/>
    <xf numFmtId="0" fontId="0" fillId="9" borderId="18" xfId="0" applyFill="1" applyBorder="1"/>
    <xf numFmtId="0" fontId="0" fillId="9" borderId="19" xfId="0" applyFill="1" applyBorder="1"/>
    <xf numFmtId="0" fontId="0" fillId="3" borderId="18" xfId="0" applyFill="1" applyBorder="1"/>
    <xf numFmtId="0" fontId="0" fillId="0" borderId="17" xfId="0" applyBorder="1" applyAlignment="1">
      <alignment horizontal="center" vertical="center"/>
    </xf>
    <xf numFmtId="0" fontId="14" fillId="0" borderId="18" xfId="0" applyFont="1" applyBorder="1" applyAlignment="1">
      <alignment horizontal="left" vertical="center"/>
    </xf>
    <xf numFmtId="0" fontId="0" fillId="0" borderId="19" xfId="0" applyBorder="1"/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7" borderId="0" xfId="0" quotePrefix="1" applyFill="1"/>
    <xf numFmtId="0" fontId="16" fillId="4" borderId="11" xfId="0" applyFont="1" applyFill="1" applyBorder="1"/>
    <xf numFmtId="0" fontId="0" fillId="2" borderId="33" xfId="0" applyFill="1" applyBorder="1"/>
    <xf numFmtId="0" fontId="14" fillId="0" borderId="33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0" fillId="4" borderId="27" xfId="0" applyFill="1" applyBorder="1"/>
    <xf numFmtId="0" fontId="0" fillId="2" borderId="2" xfId="0" applyFill="1" applyBorder="1"/>
    <xf numFmtId="0" fontId="0" fillId="2" borderId="7" xfId="0" applyFill="1" applyBorder="1"/>
    <xf numFmtId="0" fontId="0" fillId="3" borderId="21" xfId="0" applyFill="1" applyBorder="1"/>
    <xf numFmtId="164" fontId="4" fillId="0" borderId="33" xfId="0" applyNumberFormat="1" applyFont="1" applyBorder="1" applyAlignment="1">
      <alignment horizontal="left" vertical="top" textRotation="90"/>
    </xf>
    <xf numFmtId="164" fontId="4" fillId="0" borderId="34" xfId="0" applyNumberFormat="1" applyFont="1" applyBorder="1" applyAlignment="1">
      <alignment horizontal="left" vertical="top" textRotation="90"/>
    </xf>
    <xf numFmtId="0" fontId="14" fillId="4" borderId="11" xfId="0" applyFont="1" applyFill="1" applyBorder="1" applyAlignment="1">
      <alignment horizontal="left" vertical="center"/>
    </xf>
    <xf numFmtId="0" fontId="0" fillId="4" borderId="12" xfId="0" applyFill="1" applyBorder="1"/>
    <xf numFmtId="0" fontId="1" fillId="0" borderId="41" xfId="0" applyFon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6" fillId="0" borderId="1" xfId="0" applyFont="1" applyBorder="1"/>
    <xf numFmtId="0" fontId="16" fillId="0" borderId="11" xfId="0" applyFont="1" applyBorder="1"/>
    <xf numFmtId="0" fontId="0" fillId="9" borderId="1" xfId="0" applyFill="1" applyBorder="1"/>
    <xf numFmtId="0" fontId="1" fillId="0" borderId="42" xfId="0" applyFont="1" applyBorder="1" applyAlignment="1">
      <alignment horizontal="center"/>
    </xf>
    <xf numFmtId="0" fontId="0" fillId="0" borderId="43" xfId="0" applyBorder="1"/>
    <xf numFmtId="1" fontId="0" fillId="0" borderId="22" xfId="0" applyNumberFormat="1" applyBorder="1"/>
    <xf numFmtId="0" fontId="13" fillId="0" borderId="33" xfId="0" applyFont="1" applyBorder="1" applyAlignment="1">
      <alignment horizontal="center"/>
    </xf>
    <xf numFmtId="0" fontId="13" fillId="0" borderId="33" xfId="0" applyFont="1" applyBorder="1" applyAlignment="1">
      <alignment horizontal="left"/>
    </xf>
    <xf numFmtId="0" fontId="0" fillId="3" borderId="33" xfId="0" applyFill="1" applyBorder="1"/>
    <xf numFmtId="0" fontId="0" fillId="0" borderId="0" xfId="0" applyAlignment="1">
      <alignment wrapText="1"/>
    </xf>
    <xf numFmtId="0" fontId="14" fillId="9" borderId="1" xfId="0" applyFont="1" applyFill="1" applyBorder="1" applyAlignment="1">
      <alignment horizontal="left" vertical="center"/>
    </xf>
    <xf numFmtId="0" fontId="0" fillId="2" borderId="45" xfId="0" applyFill="1" applyBorder="1"/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7" xfId="0" applyFont="1" applyFill="1" applyBorder="1" applyAlignment="1">
      <alignment horizontal="left" vertical="center"/>
    </xf>
    <xf numFmtId="0" fontId="14" fillId="9" borderId="9" xfId="0" applyFont="1" applyFill="1" applyBorder="1" applyAlignment="1">
      <alignment horizontal="left" vertical="center"/>
    </xf>
    <xf numFmtId="0" fontId="15" fillId="9" borderId="31" xfId="0" applyFont="1" applyFill="1" applyBorder="1" applyAlignment="1">
      <alignment horizontal="left" vertical="center"/>
    </xf>
    <xf numFmtId="0" fontId="15" fillId="9" borderId="11" xfId="0" applyFont="1" applyFill="1" applyBorder="1" applyAlignment="1">
      <alignment horizontal="left" vertical="center"/>
    </xf>
    <xf numFmtId="0" fontId="14" fillId="9" borderId="46" xfId="0" applyFont="1" applyFill="1" applyBorder="1" applyAlignment="1">
      <alignment horizontal="left" vertical="center"/>
    </xf>
    <xf numFmtId="0" fontId="14" fillId="9" borderId="47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164" fontId="4" fillId="0" borderId="33" xfId="0" applyNumberFormat="1" applyFont="1" applyBorder="1" applyAlignment="1">
      <alignment horizontal="right" vertical="top" textRotation="90"/>
    </xf>
    <xf numFmtId="164" fontId="4" fillId="0" borderId="34" xfId="0" applyNumberFormat="1" applyFont="1" applyBorder="1" applyAlignment="1">
      <alignment horizontal="right" vertical="top" textRotation="90"/>
    </xf>
    <xf numFmtId="0" fontId="0" fillId="0" borderId="1" xfId="0" applyBorder="1" applyAlignment="1">
      <alignment vertical="center"/>
    </xf>
    <xf numFmtId="0" fontId="16" fillId="2" borderId="1" xfId="0" applyFont="1" applyFill="1" applyBorder="1"/>
    <xf numFmtId="0" fontId="14" fillId="0" borderId="19" xfId="0" applyFont="1" applyBorder="1" applyAlignment="1">
      <alignment horizontal="left" vertical="center"/>
    </xf>
    <xf numFmtId="0" fontId="14" fillId="9" borderId="19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5" fillId="9" borderId="9" xfId="0" applyFont="1" applyFill="1" applyBorder="1" applyAlignment="1">
      <alignment horizontal="left" vertical="center"/>
    </xf>
    <xf numFmtId="0" fontId="15" fillId="9" borderId="23" xfId="0" applyFont="1" applyFill="1" applyBorder="1" applyAlignment="1">
      <alignment horizontal="left" vertical="center"/>
    </xf>
    <xf numFmtId="0" fontId="14" fillId="9" borderId="33" xfId="0" applyFont="1" applyFill="1" applyBorder="1" applyAlignment="1">
      <alignment horizontal="left" vertical="center"/>
    </xf>
    <xf numFmtId="0" fontId="0" fillId="4" borderId="45" xfId="0" applyFill="1" applyBorder="1"/>
    <xf numFmtId="0" fontId="14" fillId="4" borderId="8" xfId="0" applyFont="1" applyFill="1" applyBorder="1" applyAlignment="1">
      <alignment horizontal="left" vertical="center"/>
    </xf>
    <xf numFmtId="0" fontId="14" fillId="4" borderId="9" xfId="0" applyFont="1" applyFill="1" applyBorder="1" applyAlignment="1">
      <alignment horizontal="left" vertical="center"/>
    </xf>
    <xf numFmtId="0" fontId="0" fillId="9" borderId="3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14" fillId="9" borderId="49" xfId="0" applyFont="1" applyFill="1" applyBorder="1" applyAlignment="1">
      <alignment horizontal="left" vertical="center"/>
    </xf>
    <xf numFmtId="0" fontId="14" fillId="9" borderId="50" xfId="0" applyFont="1" applyFill="1" applyBorder="1" applyAlignment="1">
      <alignment horizontal="left" vertical="center"/>
    </xf>
    <xf numFmtId="0" fontId="0" fillId="7" borderId="8" xfId="0" applyFill="1" applyBorder="1"/>
    <xf numFmtId="0" fontId="0" fillId="2" borderId="49" xfId="0" applyFill="1" applyBorder="1"/>
    <xf numFmtId="0" fontId="0" fillId="7" borderId="50" xfId="0" applyFill="1" applyBorder="1"/>
    <xf numFmtId="0" fontId="0" fillId="7" borderId="18" xfId="0" applyFill="1" applyBorder="1"/>
    <xf numFmtId="0" fontId="0" fillId="0" borderId="33" xfId="0" applyBorder="1"/>
    <xf numFmtId="0" fontId="12" fillId="10" borderId="18" xfId="0" applyFont="1" applyFill="1" applyBorder="1" applyAlignment="1">
      <alignment vertical="center"/>
    </xf>
    <xf numFmtId="0" fontId="0" fillId="0" borderId="51" xfId="0" applyBorder="1"/>
    <xf numFmtId="0" fontId="0" fillId="0" borderId="14" xfId="0" applyBorder="1"/>
    <xf numFmtId="0" fontId="14" fillId="9" borderId="21" xfId="0" applyFont="1" applyFill="1" applyBorder="1" applyAlignment="1">
      <alignment horizontal="left" vertical="center"/>
    </xf>
    <xf numFmtId="0" fontId="0" fillId="2" borderId="21" xfId="0" applyFill="1" applyBorder="1"/>
    <xf numFmtId="0" fontId="16" fillId="0" borderId="3" xfId="0" applyFont="1" applyBorder="1"/>
    <xf numFmtId="0" fontId="0" fillId="9" borderId="25" xfId="0" applyFill="1" applyBorder="1"/>
    <xf numFmtId="0" fontId="0" fillId="9" borderId="53" xfId="0" applyFill="1" applyBorder="1"/>
    <xf numFmtId="0" fontId="0" fillId="9" borderId="43" xfId="0" applyFill="1" applyBorder="1"/>
    <xf numFmtId="0" fontId="0" fillId="0" borderId="53" xfId="0" applyBorder="1"/>
    <xf numFmtId="0" fontId="0" fillId="9" borderId="24" xfId="0" applyFill="1" applyBorder="1"/>
    <xf numFmtId="0" fontId="0" fillId="9" borderId="54" xfId="0" applyFill="1" applyBorder="1"/>
    <xf numFmtId="0" fontId="0" fillId="9" borderId="27" xfId="0" applyFill="1" applyBorder="1"/>
    <xf numFmtId="0" fontId="0" fillId="0" borderId="24" xfId="0" applyBorder="1"/>
    <xf numFmtId="0" fontId="0" fillId="0" borderId="54" xfId="0" applyBorder="1"/>
    <xf numFmtId="0" fontId="0" fillId="9" borderId="28" xfId="0" applyFill="1" applyBorder="1"/>
    <xf numFmtId="0" fontId="0" fillId="4" borderId="25" xfId="0" applyFill="1" applyBorder="1"/>
    <xf numFmtId="0" fontId="0" fillId="0" borderId="34" xfId="0" applyBorder="1"/>
    <xf numFmtId="0" fontId="0" fillId="9" borderId="26" xfId="0" applyFill="1" applyBorder="1"/>
    <xf numFmtId="14" fontId="1" fillId="0" borderId="55" xfId="0" applyNumberFormat="1" applyFont="1" applyBorder="1" applyAlignment="1">
      <alignment horizontal="left" textRotation="90"/>
    </xf>
    <xf numFmtId="0" fontId="0" fillId="9" borderId="56" xfId="0" applyFill="1" applyBorder="1"/>
    <xf numFmtId="0" fontId="0" fillId="9" borderId="57" xfId="0" applyFill="1" applyBorder="1"/>
    <xf numFmtId="0" fontId="0" fillId="9" borderId="16" xfId="0" applyFill="1" applyBorder="1"/>
    <xf numFmtId="0" fontId="0" fillId="0" borderId="58" xfId="0" applyBorder="1"/>
    <xf numFmtId="0" fontId="0" fillId="0" borderId="57" xfId="0" applyBorder="1"/>
    <xf numFmtId="0" fontId="0" fillId="9" borderId="52" xfId="0" applyFill="1" applyBorder="1"/>
    <xf numFmtId="0" fontId="0" fillId="9" borderId="59" xfId="0" applyFill="1" applyBorder="1"/>
    <xf numFmtId="0" fontId="0" fillId="0" borderId="60" xfId="0" applyBorder="1"/>
    <xf numFmtId="0" fontId="0" fillId="9" borderId="14" xfId="0" applyFill="1" applyBorder="1"/>
    <xf numFmtId="0" fontId="0" fillId="0" borderId="52" xfId="0" applyBorder="1"/>
    <xf numFmtId="0" fontId="0" fillId="0" borderId="59" xfId="0" applyBorder="1"/>
    <xf numFmtId="0" fontId="0" fillId="9" borderId="58" xfId="0" applyFill="1" applyBorder="1"/>
    <xf numFmtId="0" fontId="0" fillId="0" borderId="56" xfId="0" applyBorder="1"/>
    <xf numFmtId="0" fontId="0" fillId="4" borderId="56" xfId="0" applyFill="1" applyBorder="1"/>
    <xf numFmtId="0" fontId="0" fillId="0" borderId="55" xfId="0" applyBorder="1"/>
    <xf numFmtId="0" fontId="0" fillId="9" borderId="60" xfId="0" applyFill="1" applyBorder="1"/>
    <xf numFmtId="0" fontId="0" fillId="0" borderId="16" xfId="0" applyBorder="1"/>
    <xf numFmtId="1" fontId="0" fillId="0" borderId="16" xfId="0" applyNumberFormat="1" applyBorder="1"/>
    <xf numFmtId="164" fontId="4" fillId="0" borderId="61" xfId="0" applyNumberFormat="1" applyFont="1" applyBorder="1" applyAlignment="1">
      <alignment horizontal="left" textRotation="90"/>
    </xf>
    <xf numFmtId="0" fontId="0" fillId="9" borderId="62" xfId="0" applyFill="1" applyBorder="1"/>
    <xf numFmtId="0" fontId="0" fillId="9" borderId="63" xfId="0" applyFill="1" applyBorder="1"/>
    <xf numFmtId="0" fontId="0" fillId="0" borderId="13" xfId="0" applyBorder="1"/>
    <xf numFmtId="0" fontId="0" fillId="9" borderId="15" xfId="0" applyFill="1" applyBorder="1"/>
    <xf numFmtId="0" fontId="0" fillId="0" borderId="64" xfId="0" applyBorder="1"/>
    <xf numFmtId="0" fontId="0" fillId="0" borderId="63" xfId="0" applyBorder="1"/>
    <xf numFmtId="0" fontId="0" fillId="9" borderId="65" xfId="0" applyFill="1" applyBorder="1"/>
    <xf numFmtId="0" fontId="0" fillId="9" borderId="66" xfId="0" applyFill="1" applyBorder="1"/>
    <xf numFmtId="0" fontId="0" fillId="0" borderId="67" xfId="0" applyBorder="1"/>
    <xf numFmtId="0" fontId="0" fillId="9" borderId="13" xfId="0" applyFill="1" applyBorder="1"/>
    <xf numFmtId="0" fontId="0" fillId="0" borderId="65" xfId="0" applyBorder="1"/>
    <xf numFmtId="0" fontId="0" fillId="0" borderId="66" xfId="0" applyBorder="1"/>
    <xf numFmtId="0" fontId="0" fillId="9" borderId="64" xfId="0" applyFill="1" applyBorder="1"/>
    <xf numFmtId="0" fontId="0" fillId="0" borderId="62" xfId="0" applyBorder="1"/>
    <xf numFmtId="0" fontId="0" fillId="4" borderId="62" xfId="0" applyFill="1" applyBorder="1"/>
    <xf numFmtId="0" fontId="0" fillId="0" borderId="61" xfId="0" applyBorder="1"/>
    <xf numFmtId="0" fontId="0" fillId="9" borderId="67" xfId="0" applyFill="1" applyBorder="1"/>
    <xf numFmtId="0" fontId="0" fillId="0" borderId="15" xfId="0" applyBorder="1"/>
    <xf numFmtId="0" fontId="17" fillId="0" borderId="41" xfId="0" applyFont="1" applyBorder="1" applyAlignment="1">
      <alignment horizontal="left"/>
    </xf>
    <xf numFmtId="0" fontId="16" fillId="10" borderId="49" xfId="0" applyFont="1" applyFill="1" applyBorder="1"/>
    <xf numFmtId="0" fontId="16" fillId="10" borderId="68" xfId="0" applyFont="1" applyFill="1" applyBorder="1"/>
    <xf numFmtId="0" fontId="16" fillId="10" borderId="45" xfId="0" applyFont="1" applyFill="1" applyBorder="1"/>
    <xf numFmtId="0" fontId="0" fillId="0" borderId="65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9" borderId="32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368673</xdr:colOff>
      <xdr:row>12</xdr:row>
      <xdr:rowOff>116542</xdr:rowOff>
    </xdr:from>
    <xdr:to>
      <xdr:col>27</xdr:col>
      <xdr:colOff>602315</xdr:colOff>
      <xdr:row>16</xdr:row>
      <xdr:rowOff>88698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48F714-1525-4CA0-9466-F43F36D8A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1467" y="3231777"/>
          <a:ext cx="835586" cy="775805"/>
        </a:xfrm>
        <a:prstGeom prst="rect">
          <a:avLst/>
        </a:prstGeom>
      </xdr:spPr>
    </xdr:pic>
    <xdr:clientData/>
  </xdr:twoCellAnchor>
  <xdr:twoCellAnchor editAs="oneCell">
    <xdr:from>
      <xdr:col>25</xdr:col>
      <xdr:colOff>129615</xdr:colOff>
      <xdr:row>24</xdr:row>
      <xdr:rowOff>89647</xdr:rowOff>
    </xdr:from>
    <xdr:to>
      <xdr:col>27</xdr:col>
      <xdr:colOff>598746</xdr:colOff>
      <xdr:row>28</xdr:row>
      <xdr:rowOff>38379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A2DBFA-482A-4853-B7A0-8563F5C57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7291" y="5647765"/>
          <a:ext cx="1682542" cy="75555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44823</xdr:rowOff>
    </xdr:from>
    <xdr:to>
      <xdr:col>28</xdr:col>
      <xdr:colOff>525041</xdr:colOff>
      <xdr:row>38</xdr:row>
      <xdr:rowOff>131768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AE0102-13A4-4909-9FC3-AA744409D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47912" y="7799294"/>
          <a:ext cx="1133333" cy="688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130277</xdr:colOff>
      <xdr:row>0</xdr:row>
      <xdr:rowOff>0</xdr:rowOff>
    </xdr:from>
    <xdr:to>
      <xdr:col>1</xdr:col>
      <xdr:colOff>2341562</xdr:colOff>
      <xdr:row>0</xdr:row>
      <xdr:rowOff>932826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DDA0DE-49DE-B7B0-8D29-15AB67FE7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413" y="0"/>
          <a:ext cx="1539682" cy="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511277</xdr:colOff>
      <xdr:row>0</xdr:row>
      <xdr:rowOff>0</xdr:rowOff>
    </xdr:from>
    <xdr:to>
      <xdr:col>1</xdr:col>
      <xdr:colOff>2571750</xdr:colOff>
      <xdr:row>0</xdr:row>
      <xdr:rowOff>869206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AFD69-EB24-42E2-B143-2724E680A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598" y="0"/>
          <a:ext cx="2060473" cy="8692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1054103</xdr:colOff>
      <xdr:row>0</xdr:row>
      <xdr:rowOff>1</xdr:rowOff>
    </xdr:from>
    <xdr:to>
      <xdr:col>2</xdr:col>
      <xdr:colOff>2048980</xdr:colOff>
      <xdr:row>1</xdr:row>
      <xdr:rowOff>84816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0C7EB9-8167-4C8F-82AA-089695E8B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9299" y="1"/>
          <a:ext cx="991702" cy="7916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1057278</xdr:colOff>
      <xdr:row>0</xdr:row>
      <xdr:rowOff>1</xdr:rowOff>
    </xdr:from>
    <xdr:to>
      <xdr:col>2</xdr:col>
      <xdr:colOff>2054672</xdr:colOff>
      <xdr:row>1</xdr:row>
      <xdr:rowOff>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C2A73-CB7D-4E06-A6F6-7A47BA0D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3304" y="1"/>
          <a:ext cx="997394" cy="8071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1094153</xdr:colOff>
      <xdr:row>0</xdr:row>
      <xdr:rowOff>0</xdr:rowOff>
    </xdr:from>
    <xdr:to>
      <xdr:col>2</xdr:col>
      <xdr:colOff>2064481</xdr:colOff>
      <xdr:row>0</xdr:row>
      <xdr:rowOff>1039718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F33E5-2C0B-4B08-8851-0C1F2911E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0153" y="0"/>
          <a:ext cx="967153" cy="10365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ew Iheanaetu" id="{5885ECD4-DEE7-4D4F-A5EF-49E79628E76B}" userId="S::Andrew.Iheanaetu@mwhtreatment.com::9935f75d-104f-49d4-b3e3-6efa7a57a1e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4" dT="2023-05-21T15:32:42.86" personId="{5885ECD4-DEE7-4D4F-A5EF-49E79628E76B}" id="{4E93950E-C058-4C33-8D97-893383087F40}">
    <text>Lateness Fee Paid</text>
  </threadedComment>
  <threadedComment ref="L19" dT="2023-05-21T15:32:42.86" personId="{5885ECD4-DEE7-4D4F-A5EF-49E79628E76B}" id="{D0C2D493-38DE-4131-B6B0-0076C3E5D4CF}">
    <text>Lateness Fee Paid</text>
  </threadedComment>
  <threadedComment ref="L20" dT="2023-05-21T15:32:42.86" personId="{5885ECD4-DEE7-4D4F-A5EF-49E79628E76B}" id="{E0CF02BE-A20C-47F6-A7FC-8A1D08ED9B98}">
    <text>Lateness Fee Paid</text>
  </threadedComment>
  <threadedComment ref="L24" dT="2023-05-21T15:32:42.86" personId="{5885ECD4-DEE7-4D4F-A5EF-49E79628E76B}" id="{E27CB7F2-8547-4005-95E7-E9274F270485}">
    <text>Lateness Fee Paid</text>
  </threadedComment>
  <threadedComment ref="L25" dT="2023-05-21T15:32:42.86" personId="{5885ECD4-DEE7-4D4F-A5EF-49E79628E76B}" id="{711C679D-0482-4A21-ABAD-21B7A893FA0A}">
    <text>Lateness Fee Paid</text>
  </threadedComment>
  <threadedComment ref="L46" dT="2023-05-21T15:32:42.86" personId="{5885ECD4-DEE7-4D4F-A5EF-49E79628E76B}" id="{17A77BB9-506E-4A27-82DC-8E2D80409AAC}">
    <text>Lateness Fee Paid</text>
  </threadedComment>
  <threadedComment ref="L52" dT="2023-05-21T15:32:42.86" personId="{5885ECD4-DEE7-4D4F-A5EF-49E79628E76B}" id="{B5BB176B-0A04-4440-A37A-D967E783A49A}">
    <text>Lateness Fee Paid</text>
  </threadedComment>
  <threadedComment ref="M58" dT="2023-05-21T15:32:42.86" personId="{5885ECD4-DEE7-4D4F-A5EF-49E79628E76B}" id="{B6DF1CAF-5ABC-4BEB-B927-A05C8FBD6639}">
    <text>Lateness Fee Paid</text>
  </threadedComment>
  <threadedComment ref="M60" dT="2023-05-21T15:32:42.86" personId="{5885ECD4-DEE7-4D4F-A5EF-49E79628E76B}" id="{FE566E46-540C-46D7-95AE-DED3DBAEF336}">
    <text>Lateness Fee Paid</text>
  </threadedComment>
  <threadedComment ref="M62" dT="2023-05-21T15:32:42.86" personId="{5885ECD4-DEE7-4D4F-A5EF-49E79628E76B}" id="{FAFEA387-0682-4C5C-8E0D-AF53F5FEA959}">
    <text>Lateness Fee Paid</text>
  </threadedComment>
  <threadedComment ref="L63" dT="2023-05-21T15:32:42.86" personId="{5885ECD4-DEE7-4D4F-A5EF-49E79628E76B}" id="{53210F46-FC8E-4BF7-9946-03EA1BB36138}">
    <text>Lateness Fee Paid</text>
  </threadedComment>
  <threadedComment ref="M65" dT="2023-06-12T07:37:01.85" personId="{5885ECD4-DEE7-4D4F-A5EF-49E79628E76B}" id="{F50961EE-1A1E-4CAF-9E60-EEB31258F1BB}">
    <text>Late with Permission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" dT="2023-05-21T15:32:42.86" personId="{5885ECD4-DEE7-4D4F-A5EF-49E79628E76B}" id="{EA0F9BC5-3F76-4625-B233-A314760DE0F1}">
    <text>Lateness Fee Paid</text>
  </threadedComment>
  <threadedComment ref="H5" dT="2023-05-21T15:32:42.86" personId="{5885ECD4-DEE7-4D4F-A5EF-49E79628E76B}" id="{4B6144BB-1543-4059-BCE3-1453C65C879C}">
    <text>Lateness Fee Paid</text>
  </threadedComment>
  <threadedComment ref="G6" dT="2023-05-21T15:32:42.86" personId="{5885ECD4-DEE7-4D4F-A5EF-49E79628E76B}" id="{A0765520-76ED-438E-B6B2-5AB67D0D16A2}">
    <text>Lateness Fee Paid</text>
  </threadedComment>
  <threadedComment ref="G7" dT="2023-05-21T15:32:42.86" personId="{5885ECD4-DEE7-4D4F-A5EF-49E79628E76B}" id="{859440FB-D7D5-4BDD-B04C-DAB031AA6F9F}">
    <text>Lateness Fee Paid</text>
  </threadedComment>
  <threadedComment ref="G12" dT="2023-05-21T15:32:42.86" personId="{5885ECD4-DEE7-4D4F-A5EF-49E79628E76B}" id="{9CEFD8E1-BD5B-4D6F-9C56-D31AA0C15C6E}">
    <text>Lateness Fee Paid</text>
  </threadedComment>
  <threadedComment ref="G48" dT="2023-05-21T15:32:42.86" personId="{5885ECD4-DEE7-4D4F-A5EF-49E79628E76B}" id="{E6FF3B8D-312B-4A71-8151-8ACAACC65B16}">
    <text>Lateness Fee Paid</text>
  </threadedComment>
  <threadedComment ref="H56" dT="2023-06-12T07:37:01.85" personId="{5885ECD4-DEE7-4D4F-A5EF-49E79628E76B}" id="{7D4A0880-A43E-419D-8B45-B57B4E9C450D}">
    <text>Late with Permission</text>
  </threadedComment>
  <threadedComment ref="G71" dT="2023-05-21T15:32:42.86" personId="{5885ECD4-DEE7-4D4F-A5EF-49E79628E76B}" id="{4FBF0BB9-2A10-4073-B622-018AD6F79F5A}">
    <text>Lateness Fee Paid</text>
  </threadedComment>
  <threadedComment ref="H74" dT="2023-05-21T15:32:42.86" personId="{5885ECD4-DEE7-4D4F-A5EF-49E79628E76B}" id="{9EF78776-D03A-42A4-8EEE-7613425C30F3}">
    <text>Lateness Fee Paid</text>
  </threadedComment>
  <threadedComment ref="H75" dT="2023-05-21T15:32:42.86" personId="{5885ECD4-DEE7-4D4F-A5EF-49E79628E76B}" id="{66A366F3-88FF-42C1-BA10-6376D4F39FE2}">
    <text>Lateness Fee Paid</text>
  </threadedComment>
  <threadedComment ref="G79" dT="2023-05-21T15:32:42.86" personId="{5885ECD4-DEE7-4D4F-A5EF-49E79628E76B}" id="{8EB4A378-6F37-47F0-A273-41AA3DACC12A}">
    <text>Lateness Fee Paid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CA71-F152-406D-A8F0-41085D7CC704}">
  <dimension ref="A1:AE79"/>
  <sheetViews>
    <sheetView zoomScale="85" zoomScaleNormal="85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U52" sqref="U52"/>
    </sheetView>
  </sheetViews>
  <sheetFormatPr defaultRowHeight="14.5" x14ac:dyDescent="0.35"/>
  <cols>
    <col min="2" max="2" width="33.453125" customWidth="1"/>
    <col min="3" max="7" width="3.6328125" hidden="1" customWidth="1"/>
    <col min="8" max="9" width="1.453125" customWidth="1"/>
    <col min="10" max="14" width="3.6328125" customWidth="1"/>
    <col min="15" max="15" width="12.54296875" customWidth="1"/>
    <col min="18" max="18" width="3.81640625" customWidth="1"/>
    <col min="19" max="19" width="11.08984375" customWidth="1"/>
    <col min="20" max="20" width="16.453125" customWidth="1"/>
    <col min="30" max="30" width="5.81640625" customWidth="1"/>
    <col min="31" max="31" width="19.1796875" customWidth="1"/>
  </cols>
  <sheetData>
    <row r="1" spans="1:31" ht="73" customHeight="1" x14ac:dyDescent="0.35">
      <c r="A1" s="14" t="s">
        <v>39</v>
      </c>
      <c r="B1" s="15" t="s">
        <v>27</v>
      </c>
      <c r="C1" s="13">
        <v>44675</v>
      </c>
      <c r="D1" s="13">
        <v>44710</v>
      </c>
      <c r="E1" s="13">
        <v>44738</v>
      </c>
      <c r="F1" s="13">
        <v>44829</v>
      </c>
      <c r="G1" s="13">
        <v>44892</v>
      </c>
      <c r="H1" s="28"/>
      <c r="I1" s="28"/>
      <c r="J1" s="34">
        <v>44983</v>
      </c>
      <c r="K1" s="13"/>
      <c r="L1" s="13"/>
      <c r="M1" s="13"/>
      <c r="N1" s="10" t="s">
        <v>37</v>
      </c>
      <c r="O1" s="11" t="s">
        <v>38</v>
      </c>
      <c r="S1" t="s">
        <v>65</v>
      </c>
      <c r="T1" t="s">
        <v>86</v>
      </c>
    </row>
    <row r="2" spans="1:31" ht="15.5" x14ac:dyDescent="0.35">
      <c r="A2" s="5">
        <v>1</v>
      </c>
      <c r="B2" s="2" t="s">
        <v>42</v>
      </c>
      <c r="C2" s="4"/>
      <c r="D2" s="4"/>
      <c r="E2" s="3"/>
      <c r="F2" s="3"/>
      <c r="G2" s="1"/>
      <c r="H2" s="29"/>
      <c r="I2" s="29"/>
      <c r="J2" s="1"/>
      <c r="K2" s="1"/>
      <c r="L2" s="1"/>
      <c r="M2" s="1"/>
      <c r="N2" s="1"/>
      <c r="O2" s="6"/>
      <c r="S2" s="26">
        <v>44930</v>
      </c>
    </row>
    <row r="3" spans="1:31" ht="15.5" x14ac:dyDescent="0.35">
      <c r="A3" s="5">
        <f t="shared" ref="A3:A25" si="0">A2+1</f>
        <v>2</v>
      </c>
      <c r="B3" s="2" t="s">
        <v>77</v>
      </c>
      <c r="C3" s="16"/>
      <c r="D3" s="16"/>
      <c r="E3" s="16"/>
      <c r="F3" s="16"/>
      <c r="G3" s="16"/>
      <c r="H3" s="29"/>
      <c r="I3" s="29"/>
      <c r="J3" s="18">
        <v>1</v>
      </c>
      <c r="K3" s="1"/>
      <c r="L3" s="1"/>
      <c r="M3" s="1"/>
      <c r="N3" s="1"/>
      <c r="O3" s="6"/>
      <c r="S3" s="26">
        <v>44951</v>
      </c>
      <c r="T3" s="31" t="s">
        <v>78</v>
      </c>
    </row>
    <row r="4" spans="1:31" ht="15.5" x14ac:dyDescent="0.35">
      <c r="A4" s="5">
        <f t="shared" si="0"/>
        <v>3</v>
      </c>
      <c r="B4" s="2" t="s">
        <v>57</v>
      </c>
      <c r="C4" s="4"/>
      <c r="D4" s="3"/>
      <c r="E4" s="4"/>
      <c r="F4" s="4"/>
      <c r="G4" s="3"/>
      <c r="H4" s="29"/>
      <c r="I4" s="29"/>
      <c r="J4" s="3">
        <v>1</v>
      </c>
      <c r="K4" s="1"/>
      <c r="L4" s="1"/>
      <c r="M4" s="1"/>
      <c r="N4" s="1"/>
      <c r="O4" s="6"/>
      <c r="S4" s="26">
        <v>44968</v>
      </c>
    </row>
    <row r="5" spans="1:31" ht="15.5" x14ac:dyDescent="0.35">
      <c r="A5" s="5">
        <f t="shared" si="0"/>
        <v>4</v>
      </c>
      <c r="B5" s="2" t="s">
        <v>9</v>
      </c>
      <c r="C5" s="3"/>
      <c r="D5" s="3"/>
      <c r="E5" s="4"/>
      <c r="F5" s="4"/>
      <c r="G5" s="18"/>
      <c r="H5" s="29"/>
      <c r="I5" s="29"/>
      <c r="J5" s="1"/>
      <c r="K5" s="1"/>
      <c r="L5" s="1"/>
      <c r="M5" s="1"/>
      <c r="N5" s="1"/>
      <c r="O5" s="6"/>
      <c r="S5" s="26">
        <v>44968</v>
      </c>
    </row>
    <row r="6" spans="1:31" ht="15.5" x14ac:dyDescent="0.35">
      <c r="A6" s="5">
        <f t="shared" si="0"/>
        <v>5</v>
      </c>
      <c r="B6" s="2" t="s">
        <v>8</v>
      </c>
      <c r="C6" s="3"/>
      <c r="D6" s="4"/>
      <c r="E6" s="4"/>
      <c r="F6" s="1"/>
      <c r="G6" s="1"/>
      <c r="H6" s="29"/>
      <c r="I6" s="29"/>
      <c r="J6" s="1"/>
      <c r="K6" s="1"/>
      <c r="L6" s="1"/>
      <c r="M6" s="1"/>
      <c r="N6" s="1"/>
      <c r="O6" s="6"/>
      <c r="S6" s="26">
        <v>44978</v>
      </c>
    </row>
    <row r="7" spans="1:31" ht="15.5" x14ac:dyDescent="0.35">
      <c r="A7" s="5">
        <f t="shared" si="0"/>
        <v>6</v>
      </c>
      <c r="B7" s="2" t="s">
        <v>4</v>
      </c>
      <c r="C7" s="3"/>
      <c r="D7" s="4"/>
      <c r="E7" s="3"/>
      <c r="F7" s="3"/>
      <c r="G7" s="3"/>
      <c r="H7" s="29"/>
      <c r="I7" s="29"/>
      <c r="J7" s="3">
        <v>1</v>
      </c>
      <c r="K7" s="1"/>
      <c r="L7" s="1"/>
      <c r="M7" s="1"/>
      <c r="N7" s="1"/>
      <c r="O7" s="6"/>
      <c r="S7" s="26">
        <v>44982</v>
      </c>
    </row>
    <row r="8" spans="1:31" ht="15.5" x14ac:dyDescent="0.35">
      <c r="A8" s="5">
        <f t="shared" si="0"/>
        <v>7</v>
      </c>
      <c r="B8" s="2" t="s">
        <v>28</v>
      </c>
      <c r="C8" s="4"/>
      <c r="D8" s="4"/>
      <c r="E8" s="3"/>
      <c r="F8" s="4"/>
      <c r="G8" s="18"/>
      <c r="H8" s="29"/>
      <c r="I8" s="29"/>
      <c r="J8" s="18">
        <v>1</v>
      </c>
      <c r="K8" s="1"/>
      <c r="L8" s="1"/>
      <c r="M8" s="1"/>
      <c r="N8" s="1"/>
      <c r="O8" s="6"/>
      <c r="S8" s="26">
        <v>44990</v>
      </c>
      <c r="AD8" s="288" t="s">
        <v>102</v>
      </c>
      <c r="AE8" s="3" t="s">
        <v>100</v>
      </c>
    </row>
    <row r="9" spans="1:31" ht="15.5" x14ac:dyDescent="0.35">
      <c r="A9" s="5">
        <f t="shared" si="0"/>
        <v>8</v>
      </c>
      <c r="B9" s="2" t="s">
        <v>51</v>
      </c>
      <c r="C9" s="4"/>
      <c r="D9" s="3"/>
      <c r="E9" s="4"/>
      <c r="F9" s="3"/>
      <c r="G9" s="3"/>
      <c r="H9" s="29"/>
      <c r="I9" s="29"/>
      <c r="J9" s="1"/>
      <c r="K9" s="1"/>
      <c r="L9" s="1"/>
      <c r="M9" s="1"/>
      <c r="N9" s="1"/>
      <c r="O9" s="6"/>
      <c r="S9" s="26">
        <v>45005</v>
      </c>
      <c r="AD9" s="288"/>
      <c r="AE9" s="4" t="s">
        <v>101</v>
      </c>
    </row>
    <row r="10" spans="1:31" ht="15.5" x14ac:dyDescent="0.35">
      <c r="A10" s="5">
        <f t="shared" si="0"/>
        <v>9</v>
      </c>
      <c r="B10" s="2" t="s">
        <v>36</v>
      </c>
      <c r="C10" s="4"/>
      <c r="D10" s="4"/>
      <c r="E10" s="3"/>
      <c r="F10" s="4"/>
      <c r="G10" s="18"/>
      <c r="H10" s="29"/>
      <c r="I10" s="29"/>
      <c r="J10" s="1"/>
      <c r="K10" s="1"/>
      <c r="L10" s="1"/>
      <c r="M10" s="1"/>
      <c r="N10" s="1"/>
      <c r="O10" s="6"/>
      <c r="S10" s="26">
        <v>45011</v>
      </c>
      <c r="AD10" s="288"/>
      <c r="AE10" s="18" t="s">
        <v>99</v>
      </c>
    </row>
    <row r="11" spans="1:31" ht="15.5" x14ac:dyDescent="0.35">
      <c r="A11" s="5">
        <f t="shared" si="0"/>
        <v>10</v>
      </c>
      <c r="B11" s="2" t="s">
        <v>34</v>
      </c>
      <c r="C11" s="4"/>
      <c r="D11" s="3"/>
      <c r="E11" s="4"/>
      <c r="F11" s="4"/>
      <c r="G11" s="3"/>
      <c r="H11" s="29"/>
      <c r="I11" s="29"/>
      <c r="J11" s="1"/>
      <c r="K11" s="1"/>
      <c r="L11" s="1"/>
      <c r="M11" s="1"/>
      <c r="N11" s="1"/>
      <c r="O11" s="6"/>
      <c r="S11" s="26">
        <v>45023</v>
      </c>
      <c r="AD11" s="288"/>
      <c r="AE11" s="36" t="s">
        <v>103</v>
      </c>
    </row>
    <row r="12" spans="1:31" ht="15.5" x14ac:dyDescent="0.35">
      <c r="A12" s="5">
        <f t="shared" si="0"/>
        <v>11</v>
      </c>
      <c r="B12" s="2" t="s">
        <v>83</v>
      </c>
      <c r="C12" s="16"/>
      <c r="D12" s="16"/>
      <c r="E12" s="16"/>
      <c r="F12" s="16"/>
      <c r="G12" s="16"/>
      <c r="H12" s="29"/>
      <c r="I12" s="29"/>
      <c r="J12" s="18">
        <v>1</v>
      </c>
      <c r="K12" s="1"/>
      <c r="L12" s="1"/>
      <c r="M12" s="1"/>
      <c r="N12" s="1"/>
      <c r="O12" s="6"/>
      <c r="S12" s="32">
        <v>45023</v>
      </c>
      <c r="T12" s="31" t="s">
        <v>87</v>
      </c>
    </row>
    <row r="13" spans="1:31" ht="15.5" x14ac:dyDescent="0.35">
      <c r="A13" s="5">
        <f t="shared" si="0"/>
        <v>12</v>
      </c>
      <c r="B13" s="2" t="s">
        <v>0</v>
      </c>
      <c r="C13" s="3"/>
      <c r="D13" s="4"/>
      <c r="E13" s="3"/>
      <c r="F13" s="3"/>
      <c r="G13" s="3"/>
      <c r="H13" s="29"/>
      <c r="I13" s="29"/>
      <c r="J13" s="3">
        <v>1</v>
      </c>
      <c r="K13" s="1"/>
      <c r="L13" s="1"/>
      <c r="M13" s="1"/>
      <c r="N13" s="1"/>
      <c r="O13" s="6"/>
      <c r="S13" s="26">
        <v>45044</v>
      </c>
    </row>
    <row r="14" spans="1:31" ht="15.5" x14ac:dyDescent="0.35">
      <c r="A14" s="5">
        <f t="shared" si="0"/>
        <v>13</v>
      </c>
      <c r="B14" s="2" t="s">
        <v>32</v>
      </c>
      <c r="C14" s="4"/>
      <c r="D14" s="3"/>
      <c r="E14" s="4"/>
      <c r="F14" s="4"/>
      <c r="G14" s="4"/>
      <c r="H14" s="29"/>
      <c r="I14" s="29"/>
      <c r="J14" s="1"/>
      <c r="K14" s="1"/>
      <c r="L14" s="1"/>
      <c r="M14" s="1"/>
      <c r="N14" s="1"/>
      <c r="O14" s="6"/>
      <c r="S14" s="26">
        <v>45061</v>
      </c>
    </row>
    <row r="15" spans="1:31" ht="15.5" x14ac:dyDescent="0.35">
      <c r="A15" s="5">
        <f t="shared" si="0"/>
        <v>14</v>
      </c>
      <c r="B15" s="2" t="s">
        <v>62</v>
      </c>
      <c r="C15" s="3"/>
      <c r="D15" s="3"/>
      <c r="E15" s="4"/>
      <c r="F15" s="4"/>
      <c r="G15" s="3"/>
      <c r="H15" s="29"/>
      <c r="I15" s="29"/>
      <c r="J15" s="1"/>
      <c r="K15" s="1"/>
      <c r="L15" s="1"/>
      <c r="M15" s="1"/>
      <c r="N15" s="1"/>
      <c r="O15" s="6"/>
      <c r="S15" s="26">
        <v>45068</v>
      </c>
    </row>
    <row r="16" spans="1:31" ht="15.5" x14ac:dyDescent="0.35">
      <c r="A16" s="5">
        <f t="shared" si="0"/>
        <v>15</v>
      </c>
      <c r="B16" s="2" t="s">
        <v>58</v>
      </c>
      <c r="C16" s="3"/>
      <c r="D16" s="3"/>
      <c r="E16" s="4"/>
      <c r="F16" s="18"/>
      <c r="G16" s="3"/>
      <c r="H16" s="29"/>
      <c r="I16" s="29"/>
      <c r="J16" s="3">
        <v>1</v>
      </c>
      <c r="K16" s="1"/>
      <c r="L16" s="1"/>
      <c r="M16" s="1"/>
      <c r="N16" s="1"/>
      <c r="O16" s="6"/>
      <c r="P16" s="35"/>
      <c r="S16" s="26">
        <v>45073</v>
      </c>
    </row>
    <row r="17" spans="1:22" ht="15.5" x14ac:dyDescent="0.35">
      <c r="A17" s="5">
        <f t="shared" si="0"/>
        <v>16</v>
      </c>
      <c r="B17" s="2" t="s">
        <v>12</v>
      </c>
      <c r="C17" s="4"/>
      <c r="D17" s="3"/>
      <c r="E17" s="4"/>
      <c r="F17" s="3"/>
      <c r="G17" s="3"/>
      <c r="H17" s="29"/>
      <c r="I17" s="29"/>
      <c r="J17" s="3">
        <v>1</v>
      </c>
      <c r="K17" s="1"/>
      <c r="L17" s="1"/>
      <c r="M17" s="1"/>
      <c r="N17" s="1"/>
      <c r="O17" s="6"/>
      <c r="S17" s="26">
        <v>45073</v>
      </c>
      <c r="T17" s="31" t="s">
        <v>76</v>
      </c>
    </row>
    <row r="18" spans="1:22" ht="15.5" x14ac:dyDescent="0.35">
      <c r="A18" s="5">
        <f t="shared" si="0"/>
        <v>17</v>
      </c>
      <c r="B18" s="2" t="s">
        <v>91</v>
      </c>
      <c r="C18" s="4"/>
      <c r="D18" s="3"/>
      <c r="E18" s="3"/>
      <c r="F18" s="4"/>
      <c r="G18" s="3"/>
      <c r="H18" s="29"/>
      <c r="I18" s="29"/>
      <c r="J18" s="18">
        <v>1</v>
      </c>
      <c r="K18" s="1"/>
      <c r="L18" s="1"/>
      <c r="M18" s="1"/>
      <c r="N18" s="1"/>
      <c r="O18" s="6"/>
      <c r="S18" s="26">
        <v>45114</v>
      </c>
    </row>
    <row r="19" spans="1:22" ht="15.5" x14ac:dyDescent="0.35">
      <c r="A19" s="5">
        <f t="shared" si="0"/>
        <v>18</v>
      </c>
      <c r="B19" s="2" t="s">
        <v>1</v>
      </c>
      <c r="C19" s="3"/>
      <c r="D19" s="3"/>
      <c r="E19" s="3"/>
      <c r="F19" s="3"/>
      <c r="G19" s="3"/>
      <c r="H19" s="29"/>
      <c r="I19" s="29"/>
      <c r="J19" s="3">
        <v>1</v>
      </c>
      <c r="K19" s="1"/>
      <c r="L19" s="1"/>
      <c r="M19" s="1"/>
      <c r="N19" s="1"/>
      <c r="O19" s="6"/>
      <c r="S19" s="32">
        <v>45117</v>
      </c>
      <c r="T19" s="31"/>
    </row>
    <row r="20" spans="1:22" ht="15.5" x14ac:dyDescent="0.35">
      <c r="A20" s="5">
        <f t="shared" si="0"/>
        <v>19</v>
      </c>
      <c r="B20" s="2" t="s">
        <v>10</v>
      </c>
      <c r="C20" s="3"/>
      <c r="D20" s="3"/>
      <c r="E20" s="3"/>
      <c r="F20" s="18"/>
      <c r="G20" s="1"/>
      <c r="H20" s="29"/>
      <c r="I20" s="29"/>
      <c r="J20" s="18">
        <v>1</v>
      </c>
      <c r="K20" s="1"/>
      <c r="L20" s="1"/>
      <c r="M20" s="1"/>
      <c r="N20" s="1"/>
      <c r="O20" s="6"/>
      <c r="S20" s="32">
        <v>45121</v>
      </c>
      <c r="T20" s="33"/>
    </row>
    <row r="21" spans="1:22" ht="15.5" x14ac:dyDescent="0.35">
      <c r="A21" s="5">
        <f t="shared" si="0"/>
        <v>20</v>
      </c>
      <c r="B21" s="2" t="s">
        <v>5</v>
      </c>
      <c r="C21" s="3"/>
      <c r="D21" s="3"/>
      <c r="E21" s="3"/>
      <c r="F21" s="18"/>
      <c r="G21" s="18"/>
      <c r="H21" s="29"/>
      <c r="I21" s="29"/>
      <c r="J21" s="18">
        <v>1</v>
      </c>
      <c r="K21" s="1"/>
      <c r="L21" s="1"/>
      <c r="M21" s="1"/>
      <c r="N21" s="1"/>
      <c r="O21" s="6"/>
      <c r="S21" s="26">
        <v>45132</v>
      </c>
    </row>
    <row r="22" spans="1:22" ht="15.5" x14ac:dyDescent="0.35">
      <c r="A22" s="5">
        <f t="shared" si="0"/>
        <v>21</v>
      </c>
      <c r="B22" s="2" t="s">
        <v>69</v>
      </c>
      <c r="C22" s="16"/>
      <c r="D22" s="16"/>
      <c r="E22" s="16"/>
      <c r="F22" s="16"/>
      <c r="G22" s="16"/>
      <c r="H22" s="29"/>
      <c r="I22" s="29"/>
      <c r="J22" s="3">
        <v>1</v>
      </c>
      <c r="K22" s="1"/>
      <c r="L22" s="1"/>
      <c r="M22" s="1"/>
      <c r="N22" s="1"/>
      <c r="O22" s="6"/>
      <c r="S22" s="26">
        <v>45132</v>
      </c>
      <c r="T22" s="31" t="s">
        <v>70</v>
      </c>
      <c r="V22" s="12"/>
    </row>
    <row r="23" spans="1:22" ht="15.5" x14ac:dyDescent="0.35">
      <c r="A23" s="5">
        <f t="shared" si="0"/>
        <v>22</v>
      </c>
      <c r="B23" s="2" t="s">
        <v>23</v>
      </c>
      <c r="C23" s="4"/>
      <c r="D23" s="3"/>
      <c r="E23" s="4"/>
      <c r="F23" s="3"/>
      <c r="G23" s="3"/>
      <c r="H23" s="29"/>
      <c r="I23" s="29"/>
      <c r="J23" s="1"/>
      <c r="K23" s="1"/>
      <c r="L23" s="1"/>
      <c r="M23" s="1"/>
      <c r="N23" s="1"/>
      <c r="O23" s="6"/>
      <c r="S23" s="26">
        <v>45144</v>
      </c>
    </row>
    <row r="24" spans="1:22" ht="15.5" x14ac:dyDescent="0.35">
      <c r="A24" s="5">
        <f t="shared" si="0"/>
        <v>23</v>
      </c>
      <c r="B24" s="2" t="s">
        <v>20</v>
      </c>
      <c r="C24" s="4"/>
      <c r="D24" s="3"/>
      <c r="E24" s="4"/>
      <c r="F24" s="18"/>
      <c r="G24" s="3"/>
      <c r="H24" s="29"/>
      <c r="I24" s="29"/>
      <c r="J24" s="3">
        <v>1</v>
      </c>
      <c r="K24" s="1"/>
      <c r="L24" s="1"/>
      <c r="M24" s="1"/>
      <c r="N24" s="1"/>
      <c r="O24" s="6"/>
      <c r="S24" s="26">
        <v>45158</v>
      </c>
    </row>
    <row r="25" spans="1:22" ht="15.5" x14ac:dyDescent="0.35">
      <c r="A25" s="5">
        <f t="shared" si="0"/>
        <v>24</v>
      </c>
      <c r="B25" s="2" t="s">
        <v>84</v>
      </c>
      <c r="C25" s="1"/>
      <c r="D25" s="1"/>
      <c r="E25" s="1"/>
      <c r="F25" s="1"/>
      <c r="G25" s="1"/>
      <c r="H25" s="29"/>
      <c r="I25" s="29"/>
      <c r="J25" s="18">
        <v>1</v>
      </c>
      <c r="K25" s="1"/>
      <c r="L25" s="1"/>
      <c r="M25" s="1"/>
      <c r="N25" s="1"/>
      <c r="O25" s="6"/>
      <c r="S25" s="26">
        <v>45164</v>
      </c>
      <c r="T25" s="31" t="s">
        <v>85</v>
      </c>
    </row>
    <row r="26" spans="1:22" ht="15.5" x14ac:dyDescent="0.35">
      <c r="A26" s="5">
        <f t="shared" ref="A26:A57" si="1">A25+1</f>
        <v>25</v>
      </c>
      <c r="B26" s="2" t="s">
        <v>13</v>
      </c>
      <c r="C26" s="4"/>
      <c r="D26" s="3"/>
      <c r="E26" s="3"/>
      <c r="F26" s="3"/>
      <c r="G26" s="1"/>
      <c r="H26" s="29"/>
      <c r="I26" s="29"/>
      <c r="J26" s="3">
        <v>1</v>
      </c>
      <c r="K26" s="1"/>
      <c r="L26" s="1"/>
      <c r="M26" s="1"/>
      <c r="N26" s="1"/>
      <c r="O26" s="6"/>
      <c r="S26" s="26">
        <v>45178</v>
      </c>
    </row>
    <row r="27" spans="1:22" ht="15.5" x14ac:dyDescent="0.35">
      <c r="A27" s="5">
        <f t="shared" si="1"/>
        <v>26</v>
      </c>
      <c r="B27" s="2" t="s">
        <v>6</v>
      </c>
      <c r="C27" s="3"/>
      <c r="D27" s="3"/>
      <c r="E27" s="3"/>
      <c r="F27" s="4"/>
      <c r="G27" s="3"/>
      <c r="H27" s="29"/>
      <c r="I27" s="29"/>
      <c r="J27" s="18">
        <v>1</v>
      </c>
      <c r="K27" s="1"/>
      <c r="L27" s="1"/>
      <c r="M27" s="1"/>
      <c r="N27" s="1"/>
      <c r="O27" s="6"/>
      <c r="S27" s="26">
        <v>45181</v>
      </c>
    </row>
    <row r="28" spans="1:22" ht="15.5" x14ac:dyDescent="0.35">
      <c r="A28" s="5">
        <f t="shared" si="1"/>
        <v>27</v>
      </c>
      <c r="B28" s="2" t="s">
        <v>22</v>
      </c>
      <c r="C28" s="4"/>
      <c r="D28" s="3"/>
      <c r="E28" s="3"/>
      <c r="F28" s="18"/>
      <c r="G28" s="3"/>
      <c r="H28" s="29"/>
      <c r="I28" s="29"/>
      <c r="J28" s="1"/>
      <c r="K28" s="1"/>
      <c r="L28" s="1"/>
      <c r="M28" s="1"/>
      <c r="N28" s="1"/>
      <c r="O28" s="6"/>
      <c r="S28" s="26">
        <v>45182</v>
      </c>
    </row>
    <row r="29" spans="1:22" ht="15.5" x14ac:dyDescent="0.35">
      <c r="A29" s="5">
        <f t="shared" si="1"/>
        <v>28</v>
      </c>
      <c r="B29" s="2" t="s">
        <v>81</v>
      </c>
      <c r="C29" s="16"/>
      <c r="D29" s="16"/>
      <c r="E29" s="16"/>
      <c r="F29" s="16"/>
      <c r="G29" s="16"/>
      <c r="H29" s="29"/>
      <c r="I29" s="29"/>
      <c r="J29" s="18">
        <v>1</v>
      </c>
      <c r="K29" s="1"/>
      <c r="L29" s="1"/>
      <c r="M29" s="1"/>
      <c r="N29" s="1"/>
      <c r="O29" s="6"/>
      <c r="S29" s="32">
        <v>45200</v>
      </c>
      <c r="T29" s="33" t="s">
        <v>82</v>
      </c>
    </row>
    <row r="30" spans="1:22" ht="15.5" x14ac:dyDescent="0.35">
      <c r="A30" s="5">
        <f t="shared" si="1"/>
        <v>29</v>
      </c>
      <c r="B30" s="2" t="s">
        <v>14</v>
      </c>
      <c r="C30" s="4"/>
      <c r="D30" s="3"/>
      <c r="E30" s="3"/>
      <c r="F30" s="3"/>
      <c r="G30" s="18"/>
      <c r="H30" s="29"/>
      <c r="I30" s="29"/>
      <c r="J30" s="18">
        <v>1</v>
      </c>
      <c r="K30" s="1"/>
      <c r="L30" s="1"/>
      <c r="M30" s="1"/>
      <c r="N30" s="1"/>
      <c r="O30" s="6"/>
      <c r="S30" s="26">
        <v>45209</v>
      </c>
    </row>
    <row r="31" spans="1:22" ht="15.5" x14ac:dyDescent="0.35">
      <c r="A31" s="5">
        <f t="shared" si="1"/>
        <v>30</v>
      </c>
      <c r="B31" s="2" t="s">
        <v>35</v>
      </c>
      <c r="C31" s="4"/>
      <c r="D31" s="4"/>
      <c r="E31" s="4"/>
      <c r="F31" s="4"/>
      <c r="G31" s="1"/>
      <c r="H31" s="29"/>
      <c r="I31" s="29"/>
      <c r="J31" s="1"/>
      <c r="K31" s="1"/>
      <c r="L31" s="1"/>
      <c r="M31" s="1"/>
      <c r="N31" s="1"/>
      <c r="O31" s="6"/>
      <c r="S31" s="26">
        <v>45209</v>
      </c>
      <c r="T31" s="31" t="s">
        <v>70</v>
      </c>
    </row>
    <row r="32" spans="1:22" ht="15.5" x14ac:dyDescent="0.35">
      <c r="A32" s="5">
        <f t="shared" si="1"/>
        <v>31</v>
      </c>
      <c r="B32" s="2" t="s">
        <v>50</v>
      </c>
      <c r="C32" s="4"/>
      <c r="D32" s="4"/>
      <c r="E32" s="4"/>
      <c r="F32" s="3"/>
      <c r="G32" s="1"/>
      <c r="H32" s="29"/>
      <c r="I32" s="29"/>
      <c r="J32" s="1"/>
      <c r="K32" s="1"/>
      <c r="L32" s="1"/>
      <c r="M32" s="1"/>
      <c r="N32" s="1"/>
      <c r="O32" s="6"/>
      <c r="S32" s="26">
        <v>45233</v>
      </c>
    </row>
    <row r="33" spans="1:20" ht="15.5" x14ac:dyDescent="0.35">
      <c r="A33" s="5">
        <f t="shared" si="1"/>
        <v>32</v>
      </c>
      <c r="B33" s="2" t="s">
        <v>48</v>
      </c>
      <c r="C33" s="4"/>
      <c r="D33" s="3"/>
      <c r="E33" s="3"/>
      <c r="F33" s="3"/>
      <c r="G33" s="3"/>
      <c r="H33" s="29"/>
      <c r="I33" s="29"/>
      <c r="J33" s="3">
        <v>1</v>
      </c>
      <c r="K33" s="1"/>
      <c r="L33" s="1"/>
      <c r="M33" s="1"/>
      <c r="N33" s="1"/>
      <c r="O33" s="6"/>
      <c r="S33" s="26">
        <v>45233</v>
      </c>
      <c r="T33" s="31" t="s">
        <v>73</v>
      </c>
    </row>
    <row r="34" spans="1:20" ht="15.5" x14ac:dyDescent="0.35">
      <c r="A34" s="5">
        <f t="shared" si="1"/>
        <v>33</v>
      </c>
      <c r="B34" s="2" t="s">
        <v>30</v>
      </c>
      <c r="C34" s="4"/>
      <c r="D34" s="4"/>
      <c r="E34" s="4"/>
      <c r="F34" s="4"/>
      <c r="G34" s="1"/>
      <c r="H34" s="29"/>
      <c r="I34" s="29"/>
      <c r="J34" s="1"/>
      <c r="K34" s="1"/>
      <c r="L34" s="1"/>
      <c r="M34" s="1"/>
      <c r="N34" s="1"/>
      <c r="O34" s="6"/>
      <c r="S34" s="26">
        <v>45252</v>
      </c>
    </row>
    <row r="35" spans="1:20" ht="15.5" x14ac:dyDescent="0.35">
      <c r="A35" s="5">
        <f t="shared" si="1"/>
        <v>34</v>
      </c>
      <c r="B35" s="2" t="s">
        <v>88</v>
      </c>
      <c r="C35" s="16"/>
      <c r="D35" s="16"/>
      <c r="E35" s="16"/>
      <c r="F35" s="16"/>
      <c r="G35" s="16"/>
      <c r="H35" s="29"/>
      <c r="I35" s="29"/>
      <c r="J35" s="3">
        <v>1</v>
      </c>
      <c r="K35" s="1"/>
      <c r="L35" s="1"/>
      <c r="M35" s="1"/>
      <c r="N35" s="1"/>
      <c r="O35" s="6"/>
      <c r="S35" s="26">
        <v>45254</v>
      </c>
      <c r="T35" s="31" t="s">
        <v>74</v>
      </c>
    </row>
    <row r="36" spans="1:20" ht="15.5" x14ac:dyDescent="0.35">
      <c r="A36" s="5">
        <f t="shared" si="1"/>
        <v>35</v>
      </c>
      <c r="B36" s="2" t="s">
        <v>7</v>
      </c>
      <c r="C36" s="3"/>
      <c r="D36" s="3"/>
      <c r="E36" s="3"/>
      <c r="F36" s="3"/>
      <c r="G36" s="1"/>
      <c r="H36" s="29"/>
      <c r="I36" s="29"/>
      <c r="J36" s="3">
        <v>1</v>
      </c>
      <c r="K36" s="1"/>
      <c r="L36" s="1"/>
      <c r="M36" s="1"/>
      <c r="N36" s="1"/>
      <c r="O36" s="6"/>
      <c r="S36" s="26">
        <v>45261</v>
      </c>
    </row>
    <row r="37" spans="1:20" ht="15.5" x14ac:dyDescent="0.35">
      <c r="A37" s="5">
        <f t="shared" si="1"/>
        <v>36</v>
      </c>
      <c r="B37" s="2" t="s">
        <v>90</v>
      </c>
      <c r="C37" s="4"/>
      <c r="D37" s="4"/>
      <c r="E37" s="4"/>
      <c r="F37" s="18"/>
      <c r="G37" s="1"/>
      <c r="H37" s="29"/>
      <c r="I37" s="29"/>
      <c r="J37" s="1"/>
      <c r="K37" s="1"/>
      <c r="L37" s="1"/>
      <c r="M37" s="1"/>
      <c r="N37" s="1"/>
      <c r="O37" s="6"/>
      <c r="S37" s="26">
        <v>45261</v>
      </c>
    </row>
    <row r="38" spans="1:20" ht="15.5" x14ac:dyDescent="0.35">
      <c r="A38" s="5">
        <f t="shared" si="1"/>
        <v>37</v>
      </c>
      <c r="B38" s="2" t="s">
        <v>2</v>
      </c>
      <c r="C38" s="3"/>
      <c r="D38" s="3"/>
      <c r="E38" s="3"/>
      <c r="F38" s="4"/>
      <c r="G38" s="3"/>
      <c r="H38" s="29"/>
      <c r="I38" s="29"/>
      <c r="J38" s="3">
        <v>1</v>
      </c>
      <c r="K38" s="1"/>
      <c r="L38" s="1"/>
      <c r="M38" s="1"/>
      <c r="N38" s="1"/>
      <c r="O38" s="6"/>
      <c r="S38" s="26">
        <v>45269</v>
      </c>
    </row>
    <row r="39" spans="1:20" ht="15.5" x14ac:dyDescent="0.35">
      <c r="A39" s="5">
        <f t="shared" si="1"/>
        <v>38</v>
      </c>
      <c r="B39" s="2" t="s">
        <v>45</v>
      </c>
      <c r="C39" s="4"/>
      <c r="D39" s="4"/>
      <c r="E39" s="3"/>
      <c r="F39" s="4"/>
      <c r="G39" s="1"/>
      <c r="H39" s="29"/>
      <c r="I39" s="29"/>
      <c r="J39" s="18">
        <v>1</v>
      </c>
      <c r="K39" s="1"/>
      <c r="L39" s="1"/>
      <c r="M39" s="1"/>
      <c r="N39" s="1"/>
      <c r="O39" s="6"/>
      <c r="S39" s="26">
        <v>45272</v>
      </c>
    </row>
    <row r="40" spans="1:20" ht="15.5" x14ac:dyDescent="0.35">
      <c r="A40" s="5">
        <f t="shared" si="1"/>
        <v>39</v>
      </c>
      <c r="B40" s="2" t="s">
        <v>31</v>
      </c>
      <c r="C40" s="3"/>
      <c r="D40" s="3"/>
      <c r="E40" s="4"/>
      <c r="F40" s="4"/>
      <c r="G40" s="3"/>
      <c r="H40" s="29"/>
      <c r="I40" s="29"/>
      <c r="J40" s="18">
        <v>1</v>
      </c>
      <c r="K40" s="1"/>
      <c r="L40" s="1"/>
      <c r="M40" s="1"/>
      <c r="N40" s="1"/>
      <c r="O40" s="6"/>
      <c r="S40" s="26">
        <v>45273</v>
      </c>
    </row>
    <row r="41" spans="1:20" ht="15.5" x14ac:dyDescent="0.35">
      <c r="A41" s="5">
        <f t="shared" si="1"/>
        <v>40</v>
      </c>
      <c r="B41" s="2" t="s">
        <v>29</v>
      </c>
      <c r="C41" s="4"/>
      <c r="D41" s="3"/>
      <c r="E41" s="3"/>
      <c r="F41" s="18"/>
      <c r="G41" s="1"/>
      <c r="H41" s="29"/>
      <c r="I41" s="29"/>
      <c r="J41" s="1"/>
      <c r="K41" s="1"/>
      <c r="L41" s="1"/>
      <c r="M41" s="1"/>
      <c r="N41" s="1"/>
      <c r="O41" s="6"/>
      <c r="S41" s="26">
        <v>45274</v>
      </c>
    </row>
    <row r="42" spans="1:20" ht="15.5" x14ac:dyDescent="0.35">
      <c r="A42" s="5">
        <f t="shared" si="1"/>
        <v>41</v>
      </c>
      <c r="B42" s="2" t="s">
        <v>15</v>
      </c>
      <c r="C42" s="4"/>
      <c r="D42" s="3"/>
      <c r="E42" s="3"/>
      <c r="F42" s="4"/>
      <c r="G42" s="18"/>
      <c r="H42" s="29"/>
      <c r="I42" s="29"/>
      <c r="J42" s="1"/>
      <c r="K42" s="1"/>
      <c r="L42" s="1"/>
      <c r="M42" s="1"/>
      <c r="N42" s="1"/>
      <c r="O42" s="6"/>
    </row>
    <row r="43" spans="1:20" ht="15.5" x14ac:dyDescent="0.35">
      <c r="A43" s="5">
        <f t="shared" si="1"/>
        <v>42</v>
      </c>
      <c r="B43" s="2" t="s">
        <v>3</v>
      </c>
      <c r="C43" s="3"/>
      <c r="D43" s="3"/>
      <c r="E43" s="3"/>
      <c r="F43" s="4"/>
      <c r="G43" s="1"/>
      <c r="H43" s="29"/>
      <c r="I43" s="29"/>
      <c r="J43" s="3">
        <v>1</v>
      </c>
      <c r="K43" s="1"/>
      <c r="L43" s="1"/>
      <c r="M43" s="1"/>
      <c r="N43" s="1"/>
      <c r="O43" s="6"/>
    </row>
    <row r="44" spans="1:20" ht="15.5" x14ac:dyDescent="0.35">
      <c r="A44" s="5">
        <f t="shared" si="1"/>
        <v>43</v>
      </c>
      <c r="B44" s="2" t="s">
        <v>49</v>
      </c>
      <c r="C44" s="16"/>
      <c r="D44" s="16"/>
      <c r="E44" s="16"/>
      <c r="F44" s="3"/>
      <c r="G44" s="1"/>
      <c r="H44" s="29"/>
      <c r="I44" s="29"/>
      <c r="J44" s="1"/>
      <c r="K44" s="1"/>
      <c r="L44" s="1"/>
      <c r="M44" s="1"/>
      <c r="N44" s="1"/>
      <c r="O44" s="6"/>
    </row>
    <row r="45" spans="1:20" ht="15.5" x14ac:dyDescent="0.35">
      <c r="A45" s="5">
        <f t="shared" si="1"/>
        <v>44</v>
      </c>
      <c r="B45" s="2" t="s">
        <v>43</v>
      </c>
      <c r="C45" s="16"/>
      <c r="D45" s="16"/>
      <c r="E45" s="3"/>
      <c r="F45" s="4"/>
      <c r="G45" s="18"/>
      <c r="H45" s="29"/>
      <c r="I45" s="29"/>
      <c r="J45" s="3">
        <v>1</v>
      </c>
      <c r="K45" s="1"/>
      <c r="L45" s="1"/>
      <c r="M45" s="1"/>
      <c r="N45" s="1"/>
      <c r="O45" s="6"/>
    </row>
    <row r="46" spans="1:20" x14ac:dyDescent="0.35">
      <c r="A46" s="5">
        <f t="shared" si="1"/>
        <v>45</v>
      </c>
      <c r="B46" s="1" t="s">
        <v>55</v>
      </c>
      <c r="C46" s="1"/>
      <c r="D46" s="1"/>
      <c r="E46" s="1"/>
      <c r="F46" s="18"/>
      <c r="G46" s="3"/>
      <c r="H46" s="29"/>
      <c r="I46" s="29"/>
      <c r="J46" s="1"/>
      <c r="K46" s="1"/>
      <c r="L46" s="1"/>
      <c r="M46" s="1"/>
      <c r="N46" s="1"/>
      <c r="O46" s="6"/>
    </row>
    <row r="47" spans="1:20" ht="15.5" x14ac:dyDescent="0.35">
      <c r="A47" s="5">
        <f t="shared" si="1"/>
        <v>46</v>
      </c>
      <c r="B47" s="2" t="s">
        <v>64</v>
      </c>
      <c r="C47" s="16"/>
      <c r="D47" s="16"/>
      <c r="E47" s="16"/>
      <c r="F47" s="16"/>
      <c r="G47" s="3"/>
      <c r="H47" s="29"/>
      <c r="I47" s="29"/>
      <c r="J47" s="18">
        <v>1</v>
      </c>
      <c r="K47" s="1"/>
      <c r="L47" s="1"/>
      <c r="M47" s="1"/>
      <c r="N47" s="1"/>
      <c r="O47" s="6"/>
    </row>
    <row r="48" spans="1:20" ht="15.5" x14ac:dyDescent="0.35">
      <c r="A48" s="5">
        <f t="shared" si="1"/>
        <v>47</v>
      </c>
      <c r="B48" s="2" t="s">
        <v>11</v>
      </c>
      <c r="C48" s="3"/>
      <c r="D48" s="4"/>
      <c r="E48" s="3"/>
      <c r="F48" s="18"/>
      <c r="G48" s="18"/>
      <c r="H48" s="29"/>
      <c r="I48" s="29"/>
      <c r="J48" s="18">
        <v>1</v>
      </c>
      <c r="K48" s="1"/>
      <c r="L48" s="1"/>
      <c r="M48" s="1"/>
      <c r="N48" s="1"/>
      <c r="O48" s="6"/>
    </row>
    <row r="49" spans="1:31" ht="15.5" x14ac:dyDescent="0.35">
      <c r="A49" s="5">
        <f t="shared" si="1"/>
        <v>48</v>
      </c>
      <c r="B49" s="2" t="s">
        <v>24</v>
      </c>
      <c r="C49" s="4"/>
      <c r="D49" s="3"/>
      <c r="E49" s="4"/>
      <c r="F49" s="18"/>
      <c r="G49" s="1"/>
      <c r="H49" s="29"/>
      <c r="I49" s="29"/>
      <c r="J49" s="18">
        <v>1</v>
      </c>
      <c r="K49" s="1"/>
      <c r="L49" s="1"/>
      <c r="M49" s="1"/>
      <c r="N49" s="1"/>
      <c r="O49" s="6"/>
    </row>
    <row r="50" spans="1:31" ht="15.5" x14ac:dyDescent="0.35">
      <c r="A50" s="5">
        <f t="shared" si="1"/>
        <v>49</v>
      </c>
      <c r="B50" s="2" t="s">
        <v>17</v>
      </c>
      <c r="C50" s="4"/>
      <c r="D50" s="3"/>
      <c r="E50" s="4"/>
      <c r="F50" s="1"/>
      <c r="G50" s="1"/>
      <c r="H50" s="29"/>
      <c r="I50" s="29"/>
      <c r="J50" s="1"/>
      <c r="K50" s="1"/>
      <c r="L50" s="1"/>
      <c r="M50" s="1"/>
      <c r="N50" s="1"/>
      <c r="O50" s="6"/>
    </row>
    <row r="51" spans="1:31" ht="15.5" x14ac:dyDescent="0.35">
      <c r="A51" s="5">
        <f t="shared" si="1"/>
        <v>50</v>
      </c>
      <c r="B51" s="2" t="s">
        <v>54</v>
      </c>
      <c r="C51" s="1"/>
      <c r="D51" s="1"/>
      <c r="E51" s="1"/>
      <c r="F51" s="3"/>
      <c r="G51" s="18"/>
      <c r="H51" s="29"/>
      <c r="I51" s="29"/>
      <c r="J51" s="1"/>
      <c r="K51" s="1"/>
      <c r="L51" s="1"/>
      <c r="M51" s="1"/>
      <c r="N51" s="1"/>
      <c r="O51" s="6"/>
    </row>
    <row r="52" spans="1:31" ht="15.5" x14ac:dyDescent="0.35">
      <c r="A52" s="5">
        <f t="shared" si="1"/>
        <v>51</v>
      </c>
      <c r="B52" s="2" t="s">
        <v>61</v>
      </c>
      <c r="C52" s="16"/>
      <c r="D52" s="16"/>
      <c r="E52" s="16"/>
      <c r="F52" s="16"/>
      <c r="G52" s="3"/>
      <c r="H52" s="29"/>
      <c r="I52" s="29"/>
      <c r="J52" s="1"/>
      <c r="K52" s="1"/>
      <c r="L52" s="1"/>
      <c r="M52" s="1"/>
      <c r="N52" s="1"/>
      <c r="O52" s="6"/>
    </row>
    <row r="53" spans="1:31" ht="15.5" x14ac:dyDescent="0.35">
      <c r="A53" s="5">
        <f t="shared" si="1"/>
        <v>52</v>
      </c>
      <c r="B53" s="2" t="s">
        <v>71</v>
      </c>
      <c r="C53" s="16"/>
      <c r="D53" s="16"/>
      <c r="E53" s="16"/>
      <c r="F53" s="16"/>
      <c r="G53" s="16"/>
      <c r="H53" s="29"/>
      <c r="I53" s="29"/>
      <c r="J53" s="3">
        <v>1</v>
      </c>
      <c r="K53" s="1"/>
      <c r="L53" s="1"/>
      <c r="M53" s="1"/>
      <c r="N53" s="1"/>
      <c r="O53" s="6"/>
    </row>
    <row r="54" spans="1:31" ht="15.5" x14ac:dyDescent="0.35">
      <c r="A54" s="5">
        <f t="shared" si="1"/>
        <v>53</v>
      </c>
      <c r="B54" s="2" t="s">
        <v>68</v>
      </c>
      <c r="C54" s="16"/>
      <c r="D54" s="16"/>
      <c r="E54" s="16"/>
      <c r="F54" s="16"/>
      <c r="G54" s="16"/>
      <c r="H54" s="29"/>
      <c r="I54" s="29"/>
      <c r="J54" s="3">
        <v>1</v>
      </c>
      <c r="K54" s="1"/>
      <c r="L54" s="1"/>
      <c r="M54" s="1"/>
      <c r="N54" s="1"/>
      <c r="O54" s="6"/>
    </row>
    <row r="55" spans="1:31" ht="15.5" x14ac:dyDescent="0.35">
      <c r="A55" s="5">
        <f t="shared" si="1"/>
        <v>54</v>
      </c>
      <c r="B55" s="2" t="s">
        <v>72</v>
      </c>
      <c r="C55" s="16"/>
      <c r="D55" s="16"/>
      <c r="E55" s="16"/>
      <c r="F55" s="16"/>
      <c r="G55" s="16"/>
      <c r="H55" s="29"/>
      <c r="I55" s="29"/>
      <c r="J55" s="3">
        <v>1</v>
      </c>
      <c r="K55" s="1"/>
      <c r="L55" s="1"/>
      <c r="M55" s="1"/>
      <c r="N55" s="1"/>
      <c r="O55" s="6"/>
      <c r="T55" s="31" t="s">
        <v>73</v>
      </c>
    </row>
    <row r="56" spans="1:31" ht="15.5" x14ac:dyDescent="0.35">
      <c r="A56" s="5">
        <f t="shared" si="1"/>
        <v>55</v>
      </c>
      <c r="B56" s="2" t="s">
        <v>21</v>
      </c>
      <c r="C56" s="3"/>
      <c r="D56" s="3"/>
      <c r="E56" s="3"/>
      <c r="F56" s="4"/>
      <c r="G56" s="4"/>
      <c r="H56" s="29"/>
      <c r="I56" s="29"/>
      <c r="J56" s="1"/>
      <c r="K56" s="1"/>
      <c r="L56" s="1"/>
      <c r="M56" s="1"/>
      <c r="N56" s="1"/>
      <c r="O56" s="6"/>
    </row>
    <row r="57" spans="1:31" ht="15.5" x14ac:dyDescent="0.35">
      <c r="A57" s="5">
        <f t="shared" si="1"/>
        <v>56</v>
      </c>
      <c r="B57" s="2" t="s">
        <v>56</v>
      </c>
      <c r="C57" s="4"/>
      <c r="D57" s="4"/>
      <c r="E57" s="3"/>
      <c r="F57" s="18"/>
      <c r="G57" s="1"/>
      <c r="H57" s="29"/>
      <c r="I57" s="29"/>
      <c r="J57" s="1"/>
      <c r="K57" s="1"/>
      <c r="L57" s="1"/>
      <c r="M57" s="1"/>
      <c r="N57" s="1"/>
      <c r="O57" s="6"/>
    </row>
    <row r="58" spans="1:31" ht="15.5" x14ac:dyDescent="0.35">
      <c r="A58" s="5">
        <f t="shared" ref="A58:A77" si="2">A57+1</f>
        <v>57</v>
      </c>
      <c r="B58" s="2" t="s">
        <v>52</v>
      </c>
      <c r="C58" s="4"/>
      <c r="D58" s="4"/>
      <c r="E58" s="4"/>
      <c r="F58" s="3"/>
      <c r="G58" s="1"/>
      <c r="H58" s="29"/>
      <c r="I58" s="29"/>
      <c r="J58" s="1"/>
      <c r="K58" s="1"/>
      <c r="L58" s="1"/>
      <c r="M58" s="1"/>
      <c r="N58" s="1"/>
      <c r="O58" s="6"/>
      <c r="AE58">
        <v>1</v>
      </c>
    </row>
    <row r="59" spans="1:31" ht="15.5" x14ac:dyDescent="0.35">
      <c r="A59" s="5">
        <f t="shared" si="2"/>
        <v>58</v>
      </c>
      <c r="B59" s="22" t="s">
        <v>67</v>
      </c>
      <c r="C59" s="25"/>
      <c r="D59" s="25"/>
      <c r="E59" s="25"/>
      <c r="F59" s="25"/>
      <c r="G59" s="16"/>
      <c r="H59" s="30"/>
      <c r="I59" s="30"/>
      <c r="J59" s="23">
        <v>1</v>
      </c>
      <c r="K59" s="20"/>
      <c r="L59" s="20"/>
      <c r="M59" s="20"/>
      <c r="N59" s="20"/>
      <c r="O59" s="21"/>
    </row>
    <row r="60" spans="1:31" ht="15.5" x14ac:dyDescent="0.35">
      <c r="A60" s="5">
        <f t="shared" si="2"/>
        <v>59</v>
      </c>
      <c r="B60" s="22" t="s">
        <v>75</v>
      </c>
      <c r="C60" s="25"/>
      <c r="D60" s="25"/>
      <c r="E60" s="25"/>
      <c r="F60" s="25"/>
      <c r="G60" s="16"/>
      <c r="H60" s="30"/>
      <c r="I60" s="30"/>
      <c r="J60" s="23">
        <v>1</v>
      </c>
      <c r="K60" s="20"/>
      <c r="L60" s="20"/>
      <c r="M60" s="20"/>
      <c r="N60" s="20"/>
      <c r="O60" s="21"/>
      <c r="T60" s="31" t="s">
        <v>89</v>
      </c>
    </row>
    <row r="61" spans="1:31" ht="15.5" x14ac:dyDescent="0.35">
      <c r="A61" s="5">
        <f t="shared" si="2"/>
        <v>60</v>
      </c>
      <c r="B61" s="22" t="s">
        <v>53</v>
      </c>
      <c r="C61" s="20"/>
      <c r="D61" s="20"/>
      <c r="E61" s="20"/>
      <c r="F61" s="24"/>
      <c r="G61" s="20"/>
      <c r="H61" s="30"/>
      <c r="I61" s="30"/>
      <c r="J61" s="20"/>
      <c r="K61" s="20"/>
      <c r="L61" s="20"/>
      <c r="M61" s="20"/>
      <c r="N61" s="20"/>
      <c r="O61" s="21"/>
    </row>
    <row r="62" spans="1:31" ht="15.5" x14ac:dyDescent="0.35">
      <c r="A62" s="5">
        <f t="shared" si="2"/>
        <v>61</v>
      </c>
      <c r="B62" s="22" t="s">
        <v>79</v>
      </c>
      <c r="C62" s="25"/>
      <c r="D62" s="25"/>
      <c r="E62" s="25"/>
      <c r="F62" s="25"/>
      <c r="G62" s="25"/>
      <c r="H62" s="30"/>
      <c r="I62" s="30"/>
      <c r="J62" s="24">
        <v>1</v>
      </c>
      <c r="K62" s="20"/>
      <c r="L62" s="20"/>
      <c r="M62" s="20"/>
      <c r="N62" s="20"/>
      <c r="O62" s="21"/>
    </row>
    <row r="63" spans="1:31" ht="15.5" x14ac:dyDescent="0.35">
      <c r="A63" s="5">
        <f t="shared" si="2"/>
        <v>62</v>
      </c>
      <c r="B63" s="22" t="s">
        <v>18</v>
      </c>
      <c r="C63" s="27"/>
      <c r="D63" s="23"/>
      <c r="E63" s="27"/>
      <c r="F63" s="27"/>
      <c r="G63" s="23"/>
      <c r="H63" s="30"/>
      <c r="I63" s="30"/>
      <c r="J63" s="23">
        <v>1</v>
      </c>
      <c r="K63" s="20"/>
      <c r="L63" s="20"/>
      <c r="M63" s="20"/>
      <c r="N63" s="20"/>
      <c r="O63" s="21"/>
    </row>
    <row r="64" spans="1:31" ht="15.5" x14ac:dyDescent="0.35">
      <c r="A64" s="5">
        <f t="shared" si="2"/>
        <v>63</v>
      </c>
      <c r="B64" s="22" t="s">
        <v>47</v>
      </c>
      <c r="C64" s="25"/>
      <c r="D64" s="25"/>
      <c r="E64" s="23"/>
      <c r="F64" s="27"/>
      <c r="G64" s="20"/>
      <c r="H64" s="30"/>
      <c r="I64" s="30"/>
      <c r="J64" s="20"/>
      <c r="K64" s="20"/>
      <c r="L64" s="20"/>
      <c r="M64" s="20"/>
      <c r="N64" s="20"/>
      <c r="O64" s="21"/>
    </row>
    <row r="65" spans="1:20" ht="15.5" x14ac:dyDescent="0.35">
      <c r="A65" s="5">
        <f t="shared" si="2"/>
        <v>64</v>
      </c>
      <c r="B65" s="22" t="s">
        <v>40</v>
      </c>
      <c r="C65" s="23"/>
      <c r="D65" s="27"/>
      <c r="E65" s="23"/>
      <c r="F65" s="27"/>
      <c r="G65" s="23"/>
      <c r="H65" s="30"/>
      <c r="I65" s="30"/>
      <c r="J65" s="20"/>
      <c r="K65" s="20"/>
      <c r="L65" s="20"/>
      <c r="M65" s="20"/>
      <c r="N65" s="20"/>
      <c r="O65" s="21"/>
    </row>
    <row r="66" spans="1:20" ht="15.5" x14ac:dyDescent="0.35">
      <c r="A66" s="5">
        <f t="shared" si="2"/>
        <v>65</v>
      </c>
      <c r="B66" s="22" t="s">
        <v>66</v>
      </c>
      <c r="C66" s="25"/>
      <c r="D66" s="25"/>
      <c r="E66" s="25"/>
      <c r="F66" s="25"/>
      <c r="G66" s="24"/>
      <c r="H66" s="30"/>
      <c r="I66" s="30"/>
      <c r="J66" s="24">
        <v>1</v>
      </c>
      <c r="K66" s="20"/>
      <c r="L66" s="20"/>
      <c r="M66" s="20"/>
      <c r="N66" s="20"/>
      <c r="O66" s="21"/>
    </row>
    <row r="67" spans="1:20" ht="15.5" x14ac:dyDescent="0.35">
      <c r="A67" s="5">
        <f t="shared" si="2"/>
        <v>66</v>
      </c>
      <c r="B67" s="22" t="s">
        <v>80</v>
      </c>
      <c r="C67" s="25"/>
      <c r="D67" s="25"/>
      <c r="E67" s="25"/>
      <c r="F67" s="25"/>
      <c r="G67" s="25"/>
      <c r="H67" s="30"/>
      <c r="I67" s="30"/>
      <c r="J67" s="20"/>
      <c r="K67" s="20"/>
      <c r="L67" s="20"/>
      <c r="M67" s="20"/>
      <c r="N67" s="20"/>
      <c r="O67" s="21"/>
    </row>
    <row r="68" spans="1:20" ht="15.5" x14ac:dyDescent="0.35">
      <c r="A68" s="5">
        <f t="shared" si="2"/>
        <v>67</v>
      </c>
      <c r="B68" s="22" t="s">
        <v>33</v>
      </c>
      <c r="C68" s="27"/>
      <c r="D68" s="27"/>
      <c r="E68" s="27"/>
      <c r="F68" s="27"/>
      <c r="G68" s="20"/>
      <c r="H68" s="30"/>
      <c r="I68" s="30"/>
      <c r="J68" s="20"/>
      <c r="K68" s="20"/>
      <c r="L68" s="20"/>
      <c r="M68" s="20"/>
      <c r="N68" s="20"/>
      <c r="O68" s="21"/>
      <c r="S68" s="26">
        <v>45006</v>
      </c>
    </row>
    <row r="69" spans="1:20" ht="15.5" x14ac:dyDescent="0.35">
      <c r="A69" s="5">
        <f t="shared" si="2"/>
        <v>68</v>
      </c>
      <c r="B69" s="22" t="s">
        <v>44</v>
      </c>
      <c r="C69" s="27"/>
      <c r="D69" s="23"/>
      <c r="E69" s="23"/>
      <c r="F69" s="27"/>
      <c r="G69" s="20"/>
      <c r="H69" s="30"/>
      <c r="I69" s="30"/>
      <c r="J69" s="20"/>
      <c r="K69" s="20"/>
      <c r="L69" s="20"/>
      <c r="M69" s="20"/>
      <c r="N69" s="20"/>
      <c r="O69" s="21"/>
    </row>
    <row r="70" spans="1:20" ht="15.5" x14ac:dyDescent="0.35">
      <c r="A70" s="5">
        <f t="shared" si="2"/>
        <v>69</v>
      </c>
      <c r="B70" s="22" t="s">
        <v>59</v>
      </c>
      <c r="C70" s="25"/>
      <c r="D70" s="25"/>
      <c r="E70" s="25"/>
      <c r="F70" s="25"/>
      <c r="G70" s="23"/>
      <c r="H70" s="30"/>
      <c r="I70" s="30"/>
      <c r="J70" s="20"/>
      <c r="K70" s="20"/>
      <c r="L70" s="20"/>
      <c r="M70" s="20"/>
      <c r="N70" s="20"/>
      <c r="O70" s="21"/>
    </row>
    <row r="71" spans="1:20" ht="15.5" x14ac:dyDescent="0.35">
      <c r="A71" s="5">
        <f t="shared" si="2"/>
        <v>70</v>
      </c>
      <c r="B71" s="22" t="s">
        <v>16</v>
      </c>
      <c r="C71" s="23"/>
      <c r="D71" s="23"/>
      <c r="E71" s="23"/>
      <c r="F71" s="27"/>
      <c r="G71" s="27"/>
      <c r="H71" s="30"/>
      <c r="I71" s="30"/>
      <c r="J71" s="20"/>
      <c r="K71" s="20"/>
      <c r="L71" s="20"/>
      <c r="M71" s="20"/>
      <c r="N71" s="20"/>
      <c r="O71" s="21"/>
    </row>
    <row r="72" spans="1:20" ht="15.5" x14ac:dyDescent="0.35">
      <c r="A72" s="5">
        <f t="shared" si="2"/>
        <v>71</v>
      </c>
      <c r="B72" s="22" t="s">
        <v>63</v>
      </c>
      <c r="C72" s="25"/>
      <c r="D72" s="25"/>
      <c r="E72" s="25"/>
      <c r="F72" s="25"/>
      <c r="G72" s="23"/>
      <c r="H72" s="30"/>
      <c r="I72" s="30"/>
      <c r="J72" s="20"/>
      <c r="K72" s="20"/>
      <c r="L72" s="20"/>
      <c r="M72" s="20"/>
      <c r="N72" s="20"/>
      <c r="O72" s="21"/>
    </row>
    <row r="73" spans="1:20" ht="15.5" x14ac:dyDescent="0.35">
      <c r="A73" s="5">
        <f t="shared" si="2"/>
        <v>72</v>
      </c>
      <c r="B73" s="22" t="s">
        <v>19</v>
      </c>
      <c r="C73" s="27"/>
      <c r="D73" s="23"/>
      <c r="E73" s="27"/>
      <c r="F73" s="24"/>
      <c r="G73" s="20"/>
      <c r="H73" s="30"/>
      <c r="I73" s="30"/>
      <c r="J73" s="20"/>
      <c r="K73" s="20"/>
      <c r="L73" s="20"/>
      <c r="M73" s="20"/>
      <c r="N73" s="20"/>
      <c r="O73" s="21"/>
    </row>
    <row r="74" spans="1:20" ht="15.5" x14ac:dyDescent="0.35">
      <c r="A74" s="5">
        <f t="shared" si="2"/>
        <v>73</v>
      </c>
      <c r="B74" s="22" t="s">
        <v>25</v>
      </c>
      <c r="C74" s="27"/>
      <c r="D74" s="27"/>
      <c r="E74" s="27"/>
      <c r="F74" s="27"/>
      <c r="G74" s="20"/>
      <c r="H74" s="30"/>
      <c r="I74" s="30"/>
      <c r="J74" s="20"/>
      <c r="K74" s="20"/>
      <c r="L74" s="20"/>
      <c r="M74" s="20"/>
      <c r="N74" s="20"/>
      <c r="O74" s="21"/>
      <c r="S74" s="26"/>
      <c r="T74" s="31"/>
    </row>
    <row r="75" spans="1:20" ht="15.5" x14ac:dyDescent="0.35">
      <c r="A75" s="5">
        <f t="shared" si="2"/>
        <v>74</v>
      </c>
      <c r="B75" s="22" t="s">
        <v>41</v>
      </c>
      <c r="C75" s="23"/>
      <c r="D75" s="27"/>
      <c r="E75" s="23"/>
      <c r="F75" s="27"/>
      <c r="G75" s="20"/>
      <c r="H75" s="30"/>
      <c r="I75" s="30"/>
      <c r="J75" s="24">
        <v>1</v>
      </c>
      <c r="K75" s="20"/>
      <c r="L75" s="20"/>
      <c r="M75" s="20"/>
      <c r="N75" s="20"/>
      <c r="O75" s="21"/>
      <c r="S75" s="26"/>
      <c r="T75" s="31" t="s">
        <v>74</v>
      </c>
    </row>
    <row r="76" spans="1:20" ht="15.5" x14ac:dyDescent="0.35">
      <c r="A76" s="5">
        <f t="shared" si="2"/>
        <v>75</v>
      </c>
      <c r="B76" s="22" t="s">
        <v>60</v>
      </c>
      <c r="C76" s="25"/>
      <c r="D76" s="25"/>
      <c r="E76" s="25"/>
      <c r="F76" s="25"/>
      <c r="G76" s="23"/>
      <c r="H76" s="30"/>
      <c r="I76" s="30"/>
      <c r="J76" s="20"/>
      <c r="K76" s="20"/>
      <c r="L76" s="20"/>
      <c r="M76" s="20"/>
      <c r="N76" s="20"/>
      <c r="O76" s="21"/>
      <c r="S76" s="32"/>
      <c r="T76" s="31" t="s">
        <v>78</v>
      </c>
    </row>
    <row r="77" spans="1:20" ht="15.5" x14ac:dyDescent="0.35">
      <c r="A77" s="5">
        <f t="shared" si="2"/>
        <v>76</v>
      </c>
      <c r="B77" s="22" t="s">
        <v>46</v>
      </c>
      <c r="C77" s="27"/>
      <c r="D77" s="27"/>
      <c r="E77" s="23"/>
      <c r="F77" s="27"/>
      <c r="G77" s="20"/>
      <c r="H77" s="30"/>
      <c r="I77" s="30"/>
      <c r="J77" s="20"/>
      <c r="K77" s="20"/>
      <c r="L77" s="20"/>
      <c r="M77" s="20"/>
      <c r="N77" s="20"/>
      <c r="O77" s="21"/>
      <c r="S77" s="32"/>
      <c r="T77" s="33"/>
    </row>
    <row r="78" spans="1:20" x14ac:dyDescent="0.35">
      <c r="A78" s="19"/>
      <c r="B78" s="20"/>
      <c r="C78" s="20"/>
      <c r="D78" s="20"/>
      <c r="E78" s="20"/>
      <c r="F78" s="20"/>
      <c r="G78" s="20"/>
      <c r="H78" s="30"/>
      <c r="I78" s="30"/>
      <c r="J78" s="20"/>
      <c r="K78" s="20"/>
      <c r="L78" s="20"/>
      <c r="M78" s="20"/>
      <c r="N78" s="20"/>
      <c r="O78" s="21"/>
    </row>
    <row r="79" spans="1:20" ht="15" thickBot="1" x14ac:dyDescent="0.4">
      <c r="A79" s="7"/>
      <c r="B79" s="17" t="s">
        <v>26</v>
      </c>
      <c r="C79" s="8"/>
      <c r="D79" s="8"/>
      <c r="E79" s="8"/>
      <c r="F79" s="8"/>
      <c r="G79" s="8"/>
      <c r="H79" s="8"/>
      <c r="I79" s="8"/>
      <c r="J79" s="8">
        <f>SUM(J2:J78)</f>
        <v>39</v>
      </c>
      <c r="K79" s="8"/>
      <c r="L79" s="8"/>
      <c r="M79" s="8"/>
      <c r="N79" s="8"/>
      <c r="O79" s="9"/>
    </row>
  </sheetData>
  <autoFilter ref="A1:AE77" xr:uid="{CAA2CA71-F152-406D-A8F0-41085D7CC704}">
    <sortState xmlns:xlrd2="http://schemas.microsoft.com/office/spreadsheetml/2017/richdata2" ref="A2:AE77">
      <sortCondition ref="S1"/>
    </sortState>
  </autoFilter>
  <mergeCells count="1">
    <mergeCell ref="AD8:AD1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F895-FAC8-4595-B7AF-743ECB3CF654}">
  <dimension ref="B3:D15"/>
  <sheetViews>
    <sheetView topLeftCell="A9" workbookViewId="0">
      <selection activeCell="C16" sqref="C16"/>
    </sheetView>
  </sheetViews>
  <sheetFormatPr defaultRowHeight="14.5" x14ac:dyDescent="0.35"/>
  <sheetData>
    <row r="3" spans="2:4" ht="15" thickBot="1" x14ac:dyDescent="0.4"/>
    <row r="4" spans="2:4" ht="15" thickBot="1" x14ac:dyDescent="0.4">
      <c r="B4" s="38"/>
      <c r="C4" s="39"/>
      <c r="D4" s="39"/>
    </row>
    <row r="5" spans="2:4" ht="26.5" thickBot="1" x14ac:dyDescent="0.4">
      <c r="B5" s="40" t="s">
        <v>104</v>
      </c>
      <c r="C5" s="42">
        <v>200</v>
      </c>
      <c r="D5" s="43"/>
    </row>
    <row r="6" spans="2:4" ht="26.5" thickBot="1" x14ac:dyDescent="0.4">
      <c r="B6" s="40" t="s">
        <v>105</v>
      </c>
      <c r="C6" s="42">
        <v>100</v>
      </c>
      <c r="D6" s="43"/>
    </row>
    <row r="7" spans="2:4" ht="26.5" thickBot="1" x14ac:dyDescent="0.4">
      <c r="B7" s="40" t="s">
        <v>106</v>
      </c>
      <c r="C7" s="42">
        <v>100</v>
      </c>
      <c r="D7" s="43"/>
    </row>
    <row r="8" spans="2:4" ht="39.5" thickBot="1" x14ac:dyDescent="0.4">
      <c r="B8" s="40" t="s">
        <v>107</v>
      </c>
      <c r="C8" s="42">
        <v>100</v>
      </c>
      <c r="D8" s="43"/>
    </row>
    <row r="9" spans="2:4" ht="26.5" thickBot="1" x14ac:dyDescent="0.4">
      <c r="B9" s="40" t="s">
        <v>108</v>
      </c>
      <c r="C9" s="42">
        <v>50</v>
      </c>
      <c r="D9" s="43"/>
    </row>
    <row r="10" spans="2:4" ht="39.5" thickBot="1" x14ac:dyDescent="0.4">
      <c r="B10" s="40" t="s">
        <v>109</v>
      </c>
      <c r="C10" s="42">
        <v>100</v>
      </c>
      <c r="D10" s="43"/>
    </row>
    <row r="11" spans="2:4" ht="26.5" thickBot="1" x14ac:dyDescent="0.4">
      <c r="B11" s="40" t="s">
        <v>110</v>
      </c>
      <c r="C11" s="42">
        <v>100</v>
      </c>
      <c r="D11" s="43"/>
    </row>
    <row r="12" spans="2:4" ht="39.5" thickBot="1" x14ac:dyDescent="0.4">
      <c r="B12" s="40" t="s">
        <v>111</v>
      </c>
      <c r="C12" s="42">
        <v>100</v>
      </c>
      <c r="D12" s="43"/>
    </row>
    <row r="13" spans="2:4" ht="39.5" thickBot="1" x14ac:dyDescent="0.4">
      <c r="B13" s="40" t="s">
        <v>112</v>
      </c>
      <c r="C13" s="42">
        <v>100</v>
      </c>
      <c r="D13" s="43"/>
    </row>
    <row r="14" spans="2:4" ht="26.5" thickBot="1" x14ac:dyDescent="0.4">
      <c r="B14" s="40" t="s">
        <v>113</v>
      </c>
      <c r="C14" s="42">
        <v>100</v>
      </c>
      <c r="D14" s="43"/>
    </row>
    <row r="15" spans="2:4" x14ac:dyDescent="0.35">
      <c r="C15" s="41">
        <f>SUM(C5:C14)</f>
        <v>1050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FFA3-8B87-43F6-BBAA-4D6E78132585}">
  <dimension ref="A1:AK99"/>
  <sheetViews>
    <sheetView zoomScale="85" zoomScaleNormal="85" workbookViewId="0">
      <pane xSplit="1" ySplit="1" topLeftCell="B66" activePane="bottomRight" state="frozen"/>
      <selection pane="topRight" activeCell="B1" sqref="B1"/>
      <selection pane="bottomLeft" activeCell="A2" sqref="A2"/>
      <selection pane="bottomRight" activeCell="B90" sqref="B90"/>
    </sheetView>
  </sheetViews>
  <sheetFormatPr defaultRowHeight="14.5" x14ac:dyDescent="0.35"/>
  <cols>
    <col min="2" max="2" width="40.54296875" customWidth="1"/>
    <col min="3" max="7" width="3.6328125" hidden="1" customWidth="1"/>
    <col min="8" max="9" width="1.453125" customWidth="1"/>
    <col min="10" max="19" width="3.6328125" customWidth="1"/>
    <col min="20" max="20" width="12.54296875" customWidth="1"/>
    <col min="24" max="24" width="3.81640625" customWidth="1"/>
    <col min="25" max="25" width="11.08984375" customWidth="1"/>
    <col min="26" max="26" width="16.453125" customWidth="1"/>
    <col min="27" max="27" width="14.7265625" customWidth="1"/>
    <col min="32" max="32" width="18.81640625" customWidth="1"/>
  </cols>
  <sheetData>
    <row r="1" spans="1:26" ht="86.5" customHeight="1" x14ac:dyDescent="0.35">
      <c r="A1" s="14" t="s">
        <v>39</v>
      </c>
      <c r="B1" s="15" t="s">
        <v>27</v>
      </c>
      <c r="C1" s="13">
        <v>44675</v>
      </c>
      <c r="D1" s="13">
        <v>44710</v>
      </c>
      <c r="E1" s="13">
        <v>44738</v>
      </c>
      <c r="F1" s="13">
        <v>44829</v>
      </c>
      <c r="G1" s="13">
        <v>44892</v>
      </c>
      <c r="H1" s="28"/>
      <c r="I1" s="28"/>
      <c r="J1" s="45">
        <v>44983</v>
      </c>
      <c r="K1" s="46">
        <v>45011</v>
      </c>
      <c r="L1" s="46">
        <v>45046</v>
      </c>
      <c r="M1" s="46">
        <v>45074</v>
      </c>
      <c r="N1" s="46">
        <v>45102</v>
      </c>
      <c r="O1" s="46">
        <v>45137</v>
      </c>
      <c r="P1" s="46">
        <v>45193</v>
      </c>
      <c r="Q1" s="46">
        <v>45228</v>
      </c>
      <c r="R1" s="62">
        <v>45256</v>
      </c>
      <c r="S1" s="62" t="s">
        <v>37</v>
      </c>
      <c r="T1" s="11" t="s">
        <v>38</v>
      </c>
      <c r="Y1" t="s">
        <v>65</v>
      </c>
      <c r="Z1" t="s">
        <v>86</v>
      </c>
    </row>
    <row r="2" spans="1:26" ht="15.5" x14ac:dyDescent="0.35">
      <c r="A2" s="5">
        <v>1</v>
      </c>
      <c r="B2" s="2" t="s">
        <v>114</v>
      </c>
      <c r="C2" s="1"/>
      <c r="D2" s="1"/>
      <c r="E2" s="1"/>
      <c r="F2" s="1"/>
      <c r="G2" s="1"/>
      <c r="H2" s="29"/>
      <c r="I2" s="29"/>
      <c r="J2" s="16"/>
      <c r="K2" s="25"/>
      <c r="L2" s="3">
        <v>1</v>
      </c>
      <c r="M2" s="4"/>
      <c r="N2" s="27"/>
      <c r="O2" s="70" t="s">
        <v>141</v>
      </c>
      <c r="P2" s="27"/>
      <c r="Q2" s="27"/>
      <c r="R2" s="27"/>
      <c r="S2" s="63"/>
      <c r="T2" s="6"/>
      <c r="Z2" s="31" t="s">
        <v>115</v>
      </c>
    </row>
    <row r="3" spans="1:26" ht="15.5" x14ac:dyDescent="0.35">
      <c r="A3" s="5">
        <f t="shared" ref="A3:A34" si="0">A2+1</f>
        <v>2</v>
      </c>
      <c r="B3" s="2" t="s">
        <v>122</v>
      </c>
      <c r="C3" s="1"/>
      <c r="D3" s="1"/>
      <c r="E3" s="1"/>
      <c r="F3" s="1"/>
      <c r="G3" s="1"/>
      <c r="H3" s="29"/>
      <c r="I3" s="29"/>
      <c r="J3" s="18">
        <v>1</v>
      </c>
      <c r="K3" s="18">
        <v>1</v>
      </c>
      <c r="L3" s="4"/>
      <c r="M3" s="3">
        <v>1</v>
      </c>
      <c r="N3" s="18">
        <v>1</v>
      </c>
      <c r="O3" s="71"/>
      <c r="P3" s="27"/>
      <c r="Q3" s="18">
        <v>1</v>
      </c>
      <c r="R3" s="27"/>
      <c r="S3" s="63"/>
      <c r="T3" s="6"/>
      <c r="Y3" s="26">
        <v>45164</v>
      </c>
      <c r="Z3" s="31" t="s">
        <v>85</v>
      </c>
    </row>
    <row r="4" spans="1:26" ht="15.5" x14ac:dyDescent="0.35">
      <c r="A4" s="5">
        <f t="shared" si="0"/>
        <v>3</v>
      </c>
      <c r="B4" s="2" t="s">
        <v>123</v>
      </c>
      <c r="C4" s="16"/>
      <c r="D4" s="16"/>
      <c r="E4" s="16"/>
      <c r="F4" s="16"/>
      <c r="G4" s="16"/>
      <c r="H4" s="29"/>
      <c r="I4" s="29"/>
      <c r="J4" s="4"/>
      <c r="K4" s="4"/>
      <c r="L4" s="4"/>
      <c r="M4" s="18">
        <v>1</v>
      </c>
      <c r="N4" s="27"/>
      <c r="O4" s="71"/>
      <c r="P4" s="27"/>
      <c r="Q4" s="27"/>
      <c r="R4" s="18">
        <v>1</v>
      </c>
      <c r="S4" s="63"/>
      <c r="T4" s="6"/>
    </row>
    <row r="5" spans="1:26" ht="15.5" x14ac:dyDescent="0.35">
      <c r="A5" s="5">
        <f t="shared" si="0"/>
        <v>4</v>
      </c>
      <c r="B5" s="2" t="s">
        <v>4</v>
      </c>
      <c r="C5" s="3"/>
      <c r="D5" s="4"/>
      <c r="E5" s="3"/>
      <c r="F5" s="3"/>
      <c r="G5" s="3"/>
      <c r="H5" s="29"/>
      <c r="I5" s="29"/>
      <c r="J5" s="3">
        <v>1</v>
      </c>
      <c r="K5" s="37"/>
      <c r="L5" s="3">
        <v>1</v>
      </c>
      <c r="M5" s="3">
        <v>1</v>
      </c>
      <c r="N5" s="3">
        <v>1</v>
      </c>
      <c r="O5" s="71"/>
      <c r="P5" s="27"/>
      <c r="Q5" s="3">
        <v>1</v>
      </c>
      <c r="R5" s="27"/>
      <c r="S5" s="63"/>
      <c r="T5" s="6"/>
      <c r="Y5" s="26">
        <v>44982</v>
      </c>
    </row>
    <row r="6" spans="1:26" ht="15.5" x14ac:dyDescent="0.35">
      <c r="A6" s="5">
        <f t="shared" si="0"/>
        <v>5</v>
      </c>
      <c r="B6" s="2" t="s">
        <v>13</v>
      </c>
      <c r="C6" s="4"/>
      <c r="D6" s="3"/>
      <c r="E6" s="3"/>
      <c r="F6" s="3"/>
      <c r="G6" s="1"/>
      <c r="H6" s="29"/>
      <c r="I6" s="29"/>
      <c r="J6" s="3">
        <v>1</v>
      </c>
      <c r="K6" s="3">
        <v>1</v>
      </c>
      <c r="L6" s="3">
        <v>1</v>
      </c>
      <c r="M6" s="3">
        <v>1</v>
      </c>
      <c r="N6" s="3">
        <v>1</v>
      </c>
      <c r="O6" s="71"/>
      <c r="P6" s="3">
        <v>1</v>
      </c>
      <c r="Q6" s="3">
        <v>1</v>
      </c>
      <c r="R6" s="3">
        <v>1</v>
      </c>
      <c r="S6" s="63"/>
      <c r="T6" s="6"/>
      <c r="Y6" s="26">
        <v>45178</v>
      </c>
    </row>
    <row r="7" spans="1:26" ht="15.5" x14ac:dyDescent="0.35">
      <c r="A7" s="5">
        <f t="shared" si="0"/>
        <v>6</v>
      </c>
      <c r="B7" s="2" t="s">
        <v>15</v>
      </c>
      <c r="C7" s="4"/>
      <c r="D7" s="3"/>
      <c r="E7" s="3"/>
      <c r="F7" s="4"/>
      <c r="G7" s="18"/>
      <c r="H7" s="29"/>
      <c r="I7" s="29"/>
      <c r="J7" s="4"/>
      <c r="K7" s="4"/>
      <c r="L7" s="3">
        <v>1</v>
      </c>
      <c r="M7" s="4"/>
      <c r="N7" s="27"/>
      <c r="O7" s="71"/>
      <c r="P7" s="27"/>
      <c r="Q7" s="3">
        <v>1</v>
      </c>
      <c r="R7" s="27"/>
      <c r="S7" s="63"/>
      <c r="T7" s="6"/>
    </row>
    <row r="8" spans="1:26" ht="15.5" x14ac:dyDescent="0.35">
      <c r="A8" s="5">
        <f t="shared" si="0"/>
        <v>7</v>
      </c>
      <c r="B8" s="2" t="s">
        <v>5</v>
      </c>
      <c r="C8" s="3"/>
      <c r="D8" s="3"/>
      <c r="E8" s="3"/>
      <c r="F8" s="18"/>
      <c r="G8" s="18"/>
      <c r="H8" s="29"/>
      <c r="I8" s="29"/>
      <c r="J8" s="18">
        <v>1</v>
      </c>
      <c r="K8" s="37"/>
      <c r="L8" s="18">
        <v>1</v>
      </c>
      <c r="M8" s="4"/>
      <c r="N8" s="27"/>
      <c r="O8" s="71"/>
      <c r="P8" s="27"/>
      <c r="Q8" s="3">
        <v>1</v>
      </c>
      <c r="R8" s="18">
        <v>1</v>
      </c>
      <c r="S8" s="63"/>
      <c r="T8" s="6"/>
      <c r="Y8" s="26">
        <v>45132</v>
      </c>
    </row>
    <row r="9" spans="1:26" ht="15.5" x14ac:dyDescent="0.35">
      <c r="A9" s="5">
        <f t="shared" si="0"/>
        <v>8</v>
      </c>
      <c r="B9" s="2" t="s">
        <v>88</v>
      </c>
      <c r="C9" s="16"/>
      <c r="D9" s="16"/>
      <c r="E9" s="16"/>
      <c r="F9" s="16"/>
      <c r="G9" s="16"/>
      <c r="H9" s="29"/>
      <c r="I9" s="29"/>
      <c r="J9" s="3">
        <v>1</v>
      </c>
      <c r="K9" s="4"/>
      <c r="L9" s="4"/>
      <c r="M9" s="4"/>
      <c r="N9" s="3">
        <v>1</v>
      </c>
      <c r="O9" s="71"/>
      <c r="P9" s="3">
        <v>1</v>
      </c>
      <c r="Q9" s="4"/>
      <c r="R9" s="58">
        <v>1</v>
      </c>
      <c r="S9" s="63"/>
      <c r="T9" s="6"/>
      <c r="Y9" s="26">
        <v>45254</v>
      </c>
      <c r="Z9" s="31" t="s">
        <v>74</v>
      </c>
    </row>
    <row r="10" spans="1:26" ht="15.5" x14ac:dyDescent="0.35">
      <c r="A10" s="5">
        <f t="shared" si="0"/>
        <v>9</v>
      </c>
      <c r="B10" s="51" t="s">
        <v>3</v>
      </c>
      <c r="C10" s="3"/>
      <c r="D10" s="3"/>
      <c r="E10" s="3"/>
      <c r="F10" s="4"/>
      <c r="G10" s="1"/>
      <c r="H10" s="29"/>
      <c r="I10" s="29"/>
      <c r="J10" s="3">
        <v>1</v>
      </c>
      <c r="K10" s="3">
        <v>1</v>
      </c>
      <c r="L10" s="3">
        <v>1</v>
      </c>
      <c r="M10" s="4"/>
      <c r="N10" s="18">
        <v>1</v>
      </c>
      <c r="O10" s="71"/>
      <c r="P10" s="3">
        <v>1</v>
      </c>
      <c r="Q10" s="3">
        <v>1</v>
      </c>
      <c r="R10" s="27"/>
      <c r="S10" s="63"/>
      <c r="T10" s="6"/>
    </row>
    <row r="11" spans="1:26" ht="15.5" x14ac:dyDescent="0.35">
      <c r="A11" s="5">
        <f t="shared" si="0"/>
        <v>10</v>
      </c>
      <c r="B11" s="51" t="s">
        <v>14</v>
      </c>
      <c r="C11" s="4"/>
      <c r="D11" s="3"/>
      <c r="E11" s="3"/>
      <c r="F11" s="3"/>
      <c r="G11" s="18"/>
      <c r="H11" s="29"/>
      <c r="I11" s="29"/>
      <c r="J11" s="18">
        <v>1</v>
      </c>
      <c r="K11" s="18">
        <v>1</v>
      </c>
      <c r="L11" s="3">
        <v>1</v>
      </c>
      <c r="M11" s="4"/>
      <c r="N11" s="27"/>
      <c r="O11" s="71"/>
      <c r="P11" s="27"/>
      <c r="Q11" s="4"/>
      <c r="R11" s="3">
        <v>1</v>
      </c>
      <c r="S11" s="63"/>
      <c r="T11" s="6"/>
      <c r="Y11" s="26">
        <v>45209</v>
      </c>
    </row>
    <row r="12" spans="1:26" ht="15.5" x14ac:dyDescent="0.35">
      <c r="A12" s="5">
        <f t="shared" si="0"/>
        <v>11</v>
      </c>
      <c r="B12" s="51" t="s">
        <v>49</v>
      </c>
      <c r="C12" s="16"/>
      <c r="D12" s="16"/>
      <c r="E12" s="16"/>
      <c r="F12" s="3"/>
      <c r="G12" s="1"/>
      <c r="H12" s="29"/>
      <c r="I12" s="29"/>
      <c r="J12" s="4"/>
      <c r="K12" s="4"/>
      <c r="L12" s="4"/>
      <c r="M12" s="4"/>
      <c r="N12" s="27"/>
      <c r="O12" s="71"/>
      <c r="P12" s="27"/>
      <c r="Q12" s="4"/>
      <c r="R12" s="27"/>
      <c r="S12" s="63"/>
      <c r="T12" s="6"/>
    </row>
    <row r="13" spans="1:26" ht="15.5" x14ac:dyDescent="0.35">
      <c r="A13" s="5">
        <f t="shared" si="0"/>
        <v>12</v>
      </c>
      <c r="B13" s="51" t="s">
        <v>43</v>
      </c>
      <c r="C13" s="16"/>
      <c r="D13" s="16"/>
      <c r="E13" s="3"/>
      <c r="F13" s="4"/>
      <c r="G13" s="18"/>
      <c r="H13" s="29"/>
      <c r="I13" s="29"/>
      <c r="J13" s="3">
        <v>1</v>
      </c>
      <c r="K13" s="4"/>
      <c r="L13" s="4"/>
      <c r="M13" s="18">
        <v>1</v>
      </c>
      <c r="N13" s="27"/>
      <c r="O13" s="71"/>
      <c r="P13" s="27"/>
      <c r="Q13" s="4"/>
      <c r="R13" s="27"/>
      <c r="S13" s="63"/>
      <c r="T13" s="6"/>
    </row>
    <row r="14" spans="1:26" ht="15.5" x14ac:dyDescent="0.35">
      <c r="A14" s="5">
        <f t="shared" si="0"/>
        <v>13</v>
      </c>
      <c r="B14" s="51" t="s">
        <v>55</v>
      </c>
      <c r="C14" s="1"/>
      <c r="D14" s="1"/>
      <c r="E14" s="1"/>
      <c r="F14" s="18"/>
      <c r="G14" s="3"/>
      <c r="H14" s="29"/>
      <c r="I14" s="29"/>
      <c r="J14" s="4"/>
      <c r="K14" s="4"/>
      <c r="L14" s="18">
        <v>1</v>
      </c>
      <c r="M14" s="4"/>
      <c r="N14" s="18">
        <v>1</v>
      </c>
      <c r="O14" s="71"/>
      <c r="P14" s="27"/>
      <c r="Q14" s="4"/>
      <c r="R14" s="27"/>
      <c r="S14" s="63"/>
      <c r="T14" s="6"/>
    </row>
    <row r="15" spans="1:26" ht="15.5" x14ac:dyDescent="0.35">
      <c r="A15" s="5">
        <f t="shared" si="0"/>
        <v>14</v>
      </c>
      <c r="B15" s="51" t="s">
        <v>127</v>
      </c>
      <c r="C15" s="1"/>
      <c r="D15" s="1"/>
      <c r="E15" s="1"/>
      <c r="F15" s="1"/>
      <c r="G15" s="1"/>
      <c r="H15" s="29"/>
      <c r="I15" s="29"/>
      <c r="J15" s="16"/>
      <c r="K15" s="16"/>
      <c r="L15" s="16"/>
      <c r="M15" s="3">
        <v>1</v>
      </c>
      <c r="N15" s="18">
        <v>1</v>
      </c>
      <c r="O15" s="71"/>
      <c r="P15" s="27"/>
      <c r="Q15" s="4"/>
      <c r="R15" s="27"/>
      <c r="S15" s="63"/>
      <c r="T15" s="6"/>
      <c r="Y15" s="26">
        <v>45078</v>
      </c>
      <c r="Z15" s="31" t="s">
        <v>121</v>
      </c>
    </row>
    <row r="16" spans="1:26" ht="15.5" x14ac:dyDescent="0.35">
      <c r="A16" s="5">
        <f t="shared" si="0"/>
        <v>15</v>
      </c>
      <c r="B16" s="51" t="s">
        <v>124</v>
      </c>
      <c r="C16" s="1"/>
      <c r="D16" s="1"/>
      <c r="E16" s="1"/>
      <c r="F16" s="1"/>
      <c r="G16" s="1"/>
      <c r="H16" s="29"/>
      <c r="I16" s="29"/>
      <c r="J16" s="16"/>
      <c r="K16" s="16"/>
      <c r="L16" s="16"/>
      <c r="M16" s="3">
        <v>1</v>
      </c>
      <c r="N16" s="27"/>
      <c r="O16" s="71"/>
      <c r="P16" s="27"/>
      <c r="Q16" s="4"/>
      <c r="R16" s="27"/>
      <c r="S16" s="63"/>
      <c r="T16" s="6"/>
      <c r="Y16" s="26"/>
      <c r="Z16" s="31" t="s">
        <v>125</v>
      </c>
    </row>
    <row r="17" spans="1:28" ht="15.5" x14ac:dyDescent="0.35">
      <c r="A17" s="5">
        <f t="shared" si="0"/>
        <v>16</v>
      </c>
      <c r="B17" s="51" t="s">
        <v>138</v>
      </c>
      <c r="C17" s="3"/>
      <c r="D17" s="3"/>
      <c r="E17" s="4"/>
      <c r="F17" s="4"/>
      <c r="G17" s="3"/>
      <c r="H17" s="29"/>
      <c r="I17" s="29"/>
      <c r="J17" s="4"/>
      <c r="K17" s="4"/>
      <c r="L17" s="4"/>
      <c r="M17" s="4"/>
      <c r="N17" s="18">
        <v>1</v>
      </c>
      <c r="O17" s="71"/>
      <c r="P17" s="3">
        <v>1</v>
      </c>
      <c r="Q17" s="3">
        <v>1</v>
      </c>
      <c r="R17" s="27"/>
      <c r="S17" s="63"/>
      <c r="T17" s="6"/>
      <c r="Y17" s="26">
        <v>45068</v>
      </c>
    </row>
    <row r="18" spans="1:28" ht="15.5" x14ac:dyDescent="0.35">
      <c r="A18" s="5">
        <f t="shared" si="0"/>
        <v>17</v>
      </c>
      <c r="B18" s="2" t="s">
        <v>97</v>
      </c>
      <c r="C18" s="4"/>
      <c r="D18" s="4"/>
      <c r="E18" s="3"/>
      <c r="F18" s="4"/>
      <c r="G18" s="18"/>
      <c r="H18" s="29"/>
      <c r="I18" s="29"/>
      <c r="J18" s="18">
        <v>1</v>
      </c>
      <c r="K18" s="4"/>
      <c r="L18" s="4"/>
      <c r="M18" s="37" t="s">
        <v>128</v>
      </c>
      <c r="N18" s="27"/>
      <c r="O18" s="71"/>
      <c r="P18" s="3">
        <v>1</v>
      </c>
      <c r="Q18" s="18">
        <v>1</v>
      </c>
      <c r="R18" s="18">
        <v>1</v>
      </c>
      <c r="S18" s="63"/>
      <c r="T18" s="6"/>
      <c r="Y18" s="26">
        <v>44990</v>
      </c>
    </row>
    <row r="19" spans="1:28" ht="15.5" x14ac:dyDescent="0.35">
      <c r="A19" s="5">
        <f t="shared" si="0"/>
        <v>18</v>
      </c>
      <c r="B19" s="2" t="s">
        <v>58</v>
      </c>
      <c r="C19" s="3"/>
      <c r="D19" s="3"/>
      <c r="E19" s="4"/>
      <c r="F19" s="18"/>
      <c r="G19" s="3"/>
      <c r="H19" s="29"/>
      <c r="I19" s="29"/>
      <c r="J19" s="3">
        <v>1</v>
      </c>
      <c r="K19" s="37"/>
      <c r="L19" s="18">
        <v>1</v>
      </c>
      <c r="M19" s="3">
        <v>1</v>
      </c>
      <c r="N19" s="18">
        <v>1</v>
      </c>
      <c r="O19" s="71"/>
      <c r="P19" s="3">
        <v>1</v>
      </c>
      <c r="Q19" s="4"/>
      <c r="R19" s="58">
        <v>1</v>
      </c>
      <c r="S19" s="63"/>
      <c r="T19" s="6"/>
      <c r="U19" s="35"/>
      <c r="V19">
        <f>68*9</f>
        <v>612</v>
      </c>
      <c r="Y19" s="26">
        <v>45073</v>
      </c>
    </row>
    <row r="20" spans="1:28" ht="15.5" x14ac:dyDescent="0.35">
      <c r="A20" s="5">
        <f t="shared" si="0"/>
        <v>19</v>
      </c>
      <c r="B20" s="2" t="s">
        <v>94</v>
      </c>
      <c r="C20" s="3"/>
      <c r="D20" s="4"/>
      <c r="E20" s="3"/>
      <c r="F20" s="18"/>
      <c r="G20" s="18"/>
      <c r="H20" s="29"/>
      <c r="I20" s="29"/>
      <c r="J20" s="18">
        <v>1</v>
      </c>
      <c r="K20" s="3">
        <v>1</v>
      </c>
      <c r="L20" s="18">
        <v>1</v>
      </c>
      <c r="M20" s="3">
        <v>1</v>
      </c>
      <c r="N20" s="3">
        <v>1</v>
      </c>
      <c r="O20" s="71"/>
      <c r="P20" s="27"/>
      <c r="Q20" s="18">
        <v>1</v>
      </c>
      <c r="R20" s="18">
        <v>1</v>
      </c>
      <c r="S20" s="63"/>
      <c r="T20" s="6"/>
      <c r="AA20" t="s">
        <v>95</v>
      </c>
      <c r="AB20" s="12"/>
    </row>
    <row r="21" spans="1:28" ht="15.5" x14ac:dyDescent="0.35">
      <c r="A21" s="5">
        <f t="shared" si="0"/>
        <v>20</v>
      </c>
      <c r="B21" s="2" t="s">
        <v>31</v>
      </c>
      <c r="C21" s="3"/>
      <c r="D21" s="3"/>
      <c r="E21" s="4"/>
      <c r="F21" s="4"/>
      <c r="G21" s="3"/>
      <c r="H21" s="29"/>
      <c r="I21" s="29"/>
      <c r="J21" s="18">
        <v>1</v>
      </c>
      <c r="K21" s="4"/>
      <c r="L21" s="18">
        <v>1</v>
      </c>
      <c r="M21" s="3">
        <v>1</v>
      </c>
      <c r="N21" s="3">
        <v>1</v>
      </c>
      <c r="O21" s="71"/>
      <c r="P21" s="27"/>
      <c r="Q21" s="4"/>
      <c r="R21" s="18">
        <v>1</v>
      </c>
      <c r="S21" s="63"/>
      <c r="T21" s="6"/>
      <c r="Y21" s="26">
        <v>45273</v>
      </c>
    </row>
    <row r="22" spans="1:28" ht="15.5" x14ac:dyDescent="0.35">
      <c r="A22" s="5">
        <f t="shared" si="0"/>
        <v>21</v>
      </c>
      <c r="B22" s="2" t="s">
        <v>24</v>
      </c>
      <c r="C22" s="4"/>
      <c r="D22" s="3"/>
      <c r="E22" s="4"/>
      <c r="F22" s="18"/>
      <c r="G22" s="1"/>
      <c r="H22" s="29"/>
      <c r="I22" s="29"/>
      <c r="J22" s="18">
        <v>1</v>
      </c>
      <c r="K22" s="4"/>
      <c r="L22" s="37"/>
      <c r="M22" s="18">
        <v>1</v>
      </c>
      <c r="N22" s="27"/>
      <c r="O22" s="71"/>
      <c r="P22" s="27"/>
      <c r="Q22" s="4"/>
      <c r="R22" s="27"/>
      <c r="S22" s="63"/>
      <c r="T22" s="6"/>
    </row>
    <row r="23" spans="1:28" ht="15.5" x14ac:dyDescent="0.35">
      <c r="A23" s="5">
        <f t="shared" si="0"/>
        <v>22</v>
      </c>
      <c r="B23" s="2" t="s">
        <v>69</v>
      </c>
      <c r="C23" s="16"/>
      <c r="D23" s="16"/>
      <c r="E23" s="16"/>
      <c r="F23" s="16"/>
      <c r="G23" s="16"/>
      <c r="H23" s="29"/>
      <c r="I23" s="29"/>
      <c r="J23" s="3">
        <v>1</v>
      </c>
      <c r="K23" s="4"/>
      <c r="L23" s="4"/>
      <c r="M23" s="4"/>
      <c r="N23" s="27"/>
      <c r="O23" s="71"/>
      <c r="P23" s="27"/>
      <c r="Q23" s="4"/>
      <c r="R23" s="27"/>
      <c r="S23" s="63"/>
      <c r="T23" s="6"/>
      <c r="Y23" s="26">
        <v>45132</v>
      </c>
      <c r="Z23" s="31" t="s">
        <v>70</v>
      </c>
    </row>
    <row r="24" spans="1:28" ht="15.5" x14ac:dyDescent="0.35">
      <c r="A24" s="5">
        <f t="shared" si="0"/>
        <v>23</v>
      </c>
      <c r="B24" s="2" t="s">
        <v>117</v>
      </c>
      <c r="C24" s="3"/>
      <c r="D24" s="3"/>
      <c r="E24" s="3"/>
      <c r="F24" s="18"/>
      <c r="G24" s="1"/>
      <c r="H24" s="29"/>
      <c r="I24" s="29"/>
      <c r="J24" s="16"/>
      <c r="K24" s="16"/>
      <c r="L24" s="18">
        <v>1</v>
      </c>
      <c r="M24" s="4"/>
      <c r="N24" s="27"/>
      <c r="O24" s="71"/>
      <c r="P24" s="27"/>
      <c r="Q24" s="4"/>
      <c r="R24" s="27"/>
      <c r="S24" s="63"/>
      <c r="T24" s="6"/>
      <c r="Y24" s="32"/>
      <c r="Z24" s="33"/>
    </row>
    <row r="25" spans="1:28" ht="15.5" x14ac:dyDescent="0.35">
      <c r="A25" s="5">
        <f t="shared" si="0"/>
        <v>24</v>
      </c>
      <c r="B25" s="2" t="s">
        <v>57</v>
      </c>
      <c r="C25" s="4"/>
      <c r="D25" s="3"/>
      <c r="E25" s="4"/>
      <c r="F25" s="4"/>
      <c r="G25" s="3"/>
      <c r="H25" s="29"/>
      <c r="I25" s="29"/>
      <c r="J25" s="3">
        <v>1</v>
      </c>
      <c r="K25" s="3">
        <v>1</v>
      </c>
      <c r="L25" s="18">
        <v>1</v>
      </c>
      <c r="M25" s="4"/>
      <c r="N25" s="3">
        <v>1</v>
      </c>
      <c r="O25" s="71"/>
      <c r="P25" s="3">
        <v>1</v>
      </c>
      <c r="Q25" s="4"/>
      <c r="R25" s="27"/>
      <c r="S25" s="63"/>
      <c r="T25" s="6"/>
      <c r="Y25" s="26">
        <v>44968</v>
      </c>
    </row>
    <row r="26" spans="1:28" ht="15.5" x14ac:dyDescent="0.35">
      <c r="A26" s="5">
        <f t="shared" si="0"/>
        <v>25</v>
      </c>
      <c r="B26" s="2" t="s">
        <v>17</v>
      </c>
      <c r="C26" s="4"/>
      <c r="D26" s="3"/>
      <c r="E26" s="4"/>
      <c r="F26" s="1"/>
      <c r="G26" s="1"/>
      <c r="H26" s="29"/>
      <c r="I26" s="29"/>
      <c r="J26" s="4"/>
      <c r="K26" s="4"/>
      <c r="L26" s="4"/>
      <c r="M26" s="4"/>
      <c r="N26" s="27"/>
      <c r="O26" s="71"/>
      <c r="P26" s="27"/>
      <c r="Q26" s="4"/>
      <c r="R26" s="27"/>
      <c r="S26" s="63"/>
      <c r="T26" s="6"/>
    </row>
    <row r="27" spans="1:28" ht="15.5" x14ac:dyDescent="0.35">
      <c r="A27" s="5">
        <f t="shared" si="0"/>
        <v>26</v>
      </c>
      <c r="B27" s="2" t="s">
        <v>54</v>
      </c>
      <c r="C27" s="1"/>
      <c r="D27" s="1"/>
      <c r="E27" s="1"/>
      <c r="F27" s="3"/>
      <c r="G27" s="18"/>
      <c r="H27" s="29"/>
      <c r="I27" s="29"/>
      <c r="J27" s="4"/>
      <c r="K27" s="4"/>
      <c r="L27" s="4"/>
      <c r="M27" s="3">
        <v>1</v>
      </c>
      <c r="N27" s="27"/>
      <c r="O27" s="71"/>
      <c r="P27" s="27"/>
      <c r="Q27" s="4"/>
      <c r="R27" s="27"/>
      <c r="S27" s="63"/>
      <c r="T27" s="6"/>
    </row>
    <row r="28" spans="1:28" ht="16" customHeight="1" x14ac:dyDescent="0.35">
      <c r="A28" s="5">
        <f t="shared" si="0"/>
        <v>27</v>
      </c>
      <c r="B28" s="2" t="s">
        <v>61</v>
      </c>
      <c r="C28" s="16"/>
      <c r="D28" s="16"/>
      <c r="E28" s="16"/>
      <c r="F28" s="16"/>
      <c r="G28" s="3"/>
      <c r="H28" s="29"/>
      <c r="I28" s="29"/>
      <c r="J28" s="4"/>
      <c r="K28" s="4"/>
      <c r="L28" s="4"/>
      <c r="M28" s="4"/>
      <c r="N28" s="27"/>
      <c r="O28" s="71"/>
      <c r="P28" s="27"/>
      <c r="Q28" s="4"/>
      <c r="R28" s="27"/>
      <c r="S28" s="63"/>
      <c r="T28" s="6"/>
    </row>
    <row r="29" spans="1:28" ht="16" customHeight="1" x14ac:dyDescent="0.35">
      <c r="A29" s="5">
        <f t="shared" si="0"/>
        <v>28</v>
      </c>
      <c r="B29" s="2" t="s">
        <v>0</v>
      </c>
      <c r="C29" s="3"/>
      <c r="D29" s="4"/>
      <c r="E29" s="3"/>
      <c r="F29" s="3"/>
      <c r="G29" s="3"/>
      <c r="H29" s="29"/>
      <c r="I29" s="29"/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71"/>
      <c r="P29" s="3">
        <v>1</v>
      </c>
      <c r="Q29" s="3">
        <v>1</v>
      </c>
      <c r="R29" s="58">
        <v>1</v>
      </c>
      <c r="S29" s="63"/>
      <c r="T29" s="6"/>
      <c r="Y29" s="26">
        <v>45044</v>
      </c>
    </row>
    <row r="30" spans="1:28" ht="15.5" customHeight="1" x14ac:dyDescent="0.35">
      <c r="A30" s="5">
        <f t="shared" si="0"/>
        <v>29</v>
      </c>
      <c r="B30" s="2" t="s">
        <v>71</v>
      </c>
      <c r="C30" s="16"/>
      <c r="D30" s="16"/>
      <c r="E30" s="16"/>
      <c r="F30" s="16"/>
      <c r="G30" s="16"/>
      <c r="H30" s="29"/>
      <c r="I30" s="29"/>
      <c r="J30" s="3">
        <v>1</v>
      </c>
      <c r="K30" s="37"/>
      <c r="L30" s="3">
        <v>1</v>
      </c>
      <c r="M30" s="4"/>
      <c r="N30" s="27"/>
      <c r="O30" s="71"/>
      <c r="P30" s="27"/>
      <c r="Q30" s="4"/>
      <c r="R30" s="27"/>
      <c r="S30" s="63"/>
      <c r="T30" s="6"/>
    </row>
    <row r="31" spans="1:28" ht="15.5" customHeight="1" x14ac:dyDescent="0.35">
      <c r="A31" s="5">
        <f t="shared" si="0"/>
        <v>30</v>
      </c>
      <c r="B31" s="2" t="s">
        <v>68</v>
      </c>
      <c r="C31" s="16"/>
      <c r="D31" s="16"/>
      <c r="E31" s="16"/>
      <c r="F31" s="16"/>
      <c r="G31" s="16"/>
      <c r="H31" s="29"/>
      <c r="I31" s="29"/>
      <c r="J31" s="3">
        <v>1</v>
      </c>
      <c r="K31" s="3">
        <v>1</v>
      </c>
      <c r="L31" s="4"/>
      <c r="M31" s="4"/>
      <c r="N31" s="27"/>
      <c r="O31" s="71"/>
      <c r="P31" s="27"/>
      <c r="Q31" s="4"/>
      <c r="R31" s="27"/>
      <c r="S31" s="63"/>
      <c r="T31" s="6"/>
    </row>
    <row r="32" spans="1:28" ht="15.5" x14ac:dyDescent="0.35">
      <c r="A32" s="5">
        <f t="shared" si="0"/>
        <v>31</v>
      </c>
      <c r="B32" s="2" t="s">
        <v>34</v>
      </c>
      <c r="C32" s="4"/>
      <c r="D32" s="3"/>
      <c r="E32" s="4"/>
      <c r="F32" s="4"/>
      <c r="G32" s="3"/>
      <c r="H32" s="29"/>
      <c r="I32" s="29"/>
      <c r="J32" s="4"/>
      <c r="K32" s="18">
        <v>1</v>
      </c>
      <c r="L32" s="4"/>
      <c r="M32" s="4"/>
      <c r="N32" s="27"/>
      <c r="O32" s="71"/>
      <c r="P32" s="27"/>
      <c r="Q32" s="4"/>
      <c r="R32" s="27"/>
      <c r="S32" s="63"/>
      <c r="T32" s="6"/>
      <c r="Y32" s="26">
        <v>45023</v>
      </c>
    </row>
    <row r="33" spans="1:37" ht="15.5" customHeight="1" x14ac:dyDescent="0.35">
      <c r="A33" s="5">
        <f t="shared" si="0"/>
        <v>32</v>
      </c>
      <c r="B33" s="2" t="s">
        <v>2</v>
      </c>
      <c r="C33" s="3"/>
      <c r="D33" s="3"/>
      <c r="E33" s="3"/>
      <c r="F33" s="4"/>
      <c r="G33" s="3"/>
      <c r="H33" s="29"/>
      <c r="I33" s="29"/>
      <c r="J33" s="3">
        <v>1</v>
      </c>
      <c r="K33" s="3">
        <v>1</v>
      </c>
      <c r="L33" s="3">
        <v>1</v>
      </c>
      <c r="M33" s="4"/>
      <c r="N33" s="27"/>
      <c r="O33" s="71"/>
      <c r="P33" s="3">
        <v>1</v>
      </c>
      <c r="Q33" s="3">
        <v>1</v>
      </c>
      <c r="R33" s="58">
        <v>1</v>
      </c>
      <c r="S33" s="63"/>
      <c r="T33" s="6"/>
      <c r="Y33" s="26">
        <v>45269</v>
      </c>
    </row>
    <row r="34" spans="1:37" ht="15.5" customHeight="1" x14ac:dyDescent="0.35">
      <c r="A34" s="5">
        <f t="shared" si="0"/>
        <v>33</v>
      </c>
      <c r="B34" s="2" t="s">
        <v>118</v>
      </c>
      <c r="C34" s="3"/>
      <c r="D34" s="3"/>
      <c r="E34" s="3"/>
      <c r="F34" s="18"/>
      <c r="G34" s="1"/>
      <c r="H34" s="29"/>
      <c r="I34" s="29"/>
      <c r="J34" s="4"/>
      <c r="K34" s="4"/>
      <c r="L34" s="37"/>
      <c r="M34" s="24">
        <v>1</v>
      </c>
      <c r="N34" s="3">
        <v>1</v>
      </c>
      <c r="O34" s="71"/>
      <c r="P34" s="3">
        <v>1</v>
      </c>
      <c r="Q34" s="3">
        <v>1</v>
      </c>
      <c r="R34" s="58">
        <v>1</v>
      </c>
      <c r="S34" s="63"/>
      <c r="T34" s="6"/>
      <c r="Y34" s="32"/>
      <c r="Z34" s="33"/>
    </row>
    <row r="35" spans="1:37" ht="15.5" x14ac:dyDescent="0.35">
      <c r="A35" s="5">
        <f t="shared" ref="A35:A61" si="1">A34+1</f>
        <v>34</v>
      </c>
      <c r="B35" s="2" t="s">
        <v>72</v>
      </c>
      <c r="C35" s="16"/>
      <c r="D35" s="16"/>
      <c r="E35" s="16"/>
      <c r="F35" s="16"/>
      <c r="G35" s="16"/>
      <c r="H35" s="29"/>
      <c r="I35" s="29"/>
      <c r="J35" s="3">
        <v>1</v>
      </c>
      <c r="K35" s="37"/>
      <c r="L35" s="4"/>
      <c r="M35" s="4"/>
      <c r="N35" s="37"/>
      <c r="O35" s="71"/>
      <c r="P35" s="27"/>
      <c r="Q35" s="4"/>
      <c r="R35" s="27"/>
      <c r="S35" s="63"/>
      <c r="T35" s="6"/>
      <c r="Z35" s="31" t="s">
        <v>73</v>
      </c>
    </row>
    <row r="36" spans="1:37" ht="15.5" customHeight="1" x14ac:dyDescent="0.35">
      <c r="A36" s="5">
        <f t="shared" si="1"/>
        <v>35</v>
      </c>
      <c r="B36" s="2" t="s">
        <v>20</v>
      </c>
      <c r="C36" s="4"/>
      <c r="D36" s="3"/>
      <c r="E36" s="4"/>
      <c r="F36" s="18"/>
      <c r="G36" s="3"/>
      <c r="H36" s="29"/>
      <c r="I36" s="29"/>
      <c r="J36" s="3">
        <v>1</v>
      </c>
      <c r="K36" s="4"/>
      <c r="L36" s="18">
        <v>1</v>
      </c>
      <c r="M36" s="3">
        <v>1</v>
      </c>
      <c r="N36" s="3">
        <v>1</v>
      </c>
      <c r="O36" s="71"/>
      <c r="P36" s="27"/>
      <c r="Q36" s="4"/>
      <c r="R36" s="27"/>
      <c r="S36" s="63"/>
      <c r="T36" s="6"/>
      <c r="Y36" s="26">
        <v>45158</v>
      </c>
      <c r="AK36">
        <v>1</v>
      </c>
    </row>
    <row r="37" spans="1:37" ht="15.5" customHeight="1" x14ac:dyDescent="0.35">
      <c r="A37" s="5">
        <f t="shared" si="1"/>
        <v>36</v>
      </c>
      <c r="B37" s="2" t="s">
        <v>32</v>
      </c>
      <c r="C37" s="4"/>
      <c r="D37" s="3"/>
      <c r="E37" s="4"/>
      <c r="F37" s="4"/>
      <c r="G37" s="4"/>
      <c r="H37" s="29"/>
      <c r="I37" s="29"/>
      <c r="J37" s="4"/>
      <c r="K37" s="4"/>
      <c r="L37" s="4"/>
      <c r="M37" s="4"/>
      <c r="N37" s="18">
        <v>1</v>
      </c>
      <c r="O37" s="71"/>
      <c r="P37" s="27"/>
      <c r="Q37" s="4"/>
      <c r="R37" s="27"/>
      <c r="S37" s="63"/>
      <c r="T37" s="6"/>
      <c r="Y37" s="26">
        <v>45061</v>
      </c>
    </row>
    <row r="38" spans="1:37" ht="15.5" customHeight="1" x14ac:dyDescent="0.35">
      <c r="A38" s="5">
        <f t="shared" si="1"/>
        <v>37</v>
      </c>
      <c r="B38" s="2" t="s">
        <v>21</v>
      </c>
      <c r="C38" s="3"/>
      <c r="D38" s="3"/>
      <c r="E38" s="3"/>
      <c r="F38" s="4"/>
      <c r="G38" s="4"/>
      <c r="H38" s="29"/>
      <c r="I38" s="29"/>
      <c r="J38" s="18">
        <v>1</v>
      </c>
      <c r="K38" s="3">
        <v>1</v>
      </c>
      <c r="L38" s="18">
        <v>1</v>
      </c>
      <c r="M38" s="3">
        <v>1</v>
      </c>
      <c r="N38" s="3">
        <v>1</v>
      </c>
      <c r="O38" s="71"/>
      <c r="P38" s="27"/>
      <c r="Q38" s="4"/>
      <c r="R38" s="58">
        <v>1</v>
      </c>
      <c r="S38" s="63"/>
      <c r="T38" s="6"/>
    </row>
    <row r="39" spans="1:37" ht="15.5" customHeight="1" x14ac:dyDescent="0.35">
      <c r="A39" s="5">
        <f t="shared" si="1"/>
        <v>38</v>
      </c>
      <c r="B39" s="2" t="s">
        <v>51</v>
      </c>
      <c r="C39" s="4"/>
      <c r="D39" s="3"/>
      <c r="E39" s="4"/>
      <c r="F39" s="3"/>
      <c r="G39" s="3"/>
      <c r="H39" s="29"/>
      <c r="I39" s="29"/>
      <c r="J39" s="4"/>
      <c r="K39" s="4"/>
      <c r="L39" s="3">
        <v>1</v>
      </c>
      <c r="M39" s="3">
        <v>1</v>
      </c>
      <c r="N39" s="27"/>
      <c r="O39" s="71"/>
      <c r="P39" s="27"/>
      <c r="Q39" s="3">
        <v>1</v>
      </c>
      <c r="R39" s="18">
        <v>1</v>
      </c>
      <c r="S39" s="63"/>
      <c r="T39" s="6"/>
      <c r="Y39" s="26">
        <v>45005</v>
      </c>
    </row>
    <row r="40" spans="1:37" ht="15.5" customHeight="1" x14ac:dyDescent="0.35">
      <c r="A40" s="5">
        <f t="shared" si="1"/>
        <v>39</v>
      </c>
      <c r="B40" s="2" t="s">
        <v>56</v>
      </c>
      <c r="C40" s="4"/>
      <c r="D40" s="4"/>
      <c r="E40" s="3"/>
      <c r="F40" s="18"/>
      <c r="G40" s="1"/>
      <c r="H40" s="29"/>
      <c r="I40" s="29"/>
      <c r="J40" s="4"/>
      <c r="K40" s="4"/>
      <c r="L40" s="4"/>
      <c r="M40" s="4"/>
      <c r="N40" s="27"/>
      <c r="O40" s="71"/>
      <c r="P40" s="27"/>
      <c r="Q40" s="4"/>
      <c r="R40" s="27"/>
      <c r="S40" s="63"/>
      <c r="T40" s="6"/>
    </row>
    <row r="41" spans="1:37" ht="15.5" customHeight="1" x14ac:dyDescent="0.35">
      <c r="A41" s="5">
        <f t="shared" si="1"/>
        <v>40</v>
      </c>
      <c r="B41" s="2" t="s">
        <v>36</v>
      </c>
      <c r="C41" s="4"/>
      <c r="D41" s="4"/>
      <c r="E41" s="3"/>
      <c r="F41" s="4"/>
      <c r="G41" s="18"/>
      <c r="H41" s="29"/>
      <c r="I41" s="29"/>
      <c r="J41" s="4"/>
      <c r="K41" s="4"/>
      <c r="L41" s="4"/>
      <c r="M41" s="3">
        <v>1</v>
      </c>
      <c r="N41" s="27"/>
      <c r="O41" s="71"/>
      <c r="P41" s="27"/>
      <c r="Q41" s="4"/>
      <c r="R41" s="27"/>
      <c r="S41" s="63"/>
      <c r="T41" s="6"/>
      <c r="Y41" s="26">
        <v>45011</v>
      </c>
    </row>
    <row r="42" spans="1:37" ht="15.5" customHeight="1" x14ac:dyDescent="0.35">
      <c r="A42" s="5">
        <f t="shared" si="1"/>
        <v>41</v>
      </c>
      <c r="B42" s="2" t="s">
        <v>75</v>
      </c>
      <c r="C42" s="16"/>
      <c r="D42" s="16"/>
      <c r="E42" s="16"/>
      <c r="F42" s="16"/>
      <c r="G42" s="16"/>
      <c r="H42" s="29"/>
      <c r="I42" s="29"/>
      <c r="J42" s="3">
        <v>1</v>
      </c>
      <c r="K42" s="4"/>
      <c r="L42" s="4"/>
      <c r="M42" s="3">
        <v>1</v>
      </c>
      <c r="N42" s="27"/>
      <c r="O42" s="71"/>
      <c r="P42" s="27"/>
      <c r="Q42" s="4"/>
      <c r="R42" s="58">
        <v>1</v>
      </c>
      <c r="S42" s="63"/>
      <c r="T42" s="6"/>
      <c r="Z42" s="31" t="s">
        <v>76</v>
      </c>
    </row>
    <row r="43" spans="1:37" ht="15.5" customHeight="1" x14ac:dyDescent="0.35">
      <c r="A43" s="5">
        <f t="shared" si="1"/>
        <v>42</v>
      </c>
      <c r="B43" s="2" t="s">
        <v>79</v>
      </c>
      <c r="C43" s="16"/>
      <c r="D43" s="16"/>
      <c r="E43" s="16"/>
      <c r="F43" s="16"/>
      <c r="G43" s="16"/>
      <c r="H43" s="29"/>
      <c r="I43" s="29"/>
      <c r="J43" s="18">
        <v>1</v>
      </c>
      <c r="K43" s="4"/>
      <c r="L43" s="4"/>
      <c r="M43" s="4"/>
      <c r="N43" s="27"/>
      <c r="O43" s="71"/>
      <c r="P43" s="27"/>
      <c r="Q43" s="4"/>
      <c r="R43" s="27"/>
      <c r="S43" s="63"/>
      <c r="T43" s="6"/>
    </row>
    <row r="44" spans="1:37" ht="15.5" customHeight="1" x14ac:dyDescent="0.35">
      <c r="A44" s="5">
        <f t="shared" si="1"/>
        <v>43</v>
      </c>
      <c r="B44" s="2" t="s">
        <v>18</v>
      </c>
      <c r="C44" s="4"/>
      <c r="D44" s="3"/>
      <c r="E44" s="4"/>
      <c r="F44" s="4"/>
      <c r="G44" s="3"/>
      <c r="H44" s="29"/>
      <c r="I44" s="29"/>
      <c r="J44" s="3">
        <v>1</v>
      </c>
      <c r="K44" s="4"/>
      <c r="L44" s="4"/>
      <c r="M44" s="3">
        <v>1</v>
      </c>
      <c r="N44" s="27"/>
      <c r="O44" s="71"/>
      <c r="P44" s="3">
        <v>1</v>
      </c>
      <c r="Q44" s="4"/>
      <c r="R44" s="58">
        <v>1</v>
      </c>
      <c r="S44" s="63"/>
      <c r="T44" s="6"/>
    </row>
    <row r="45" spans="1:37" ht="15.5" customHeight="1" x14ac:dyDescent="0.35">
      <c r="A45" s="5">
        <f t="shared" si="1"/>
        <v>44</v>
      </c>
      <c r="B45" s="2" t="s">
        <v>29</v>
      </c>
      <c r="C45" s="4"/>
      <c r="D45" s="3"/>
      <c r="E45" s="3"/>
      <c r="F45" s="18"/>
      <c r="G45" s="1"/>
      <c r="H45" s="29"/>
      <c r="I45" s="29"/>
      <c r="J45" s="4"/>
      <c r="K45" s="18">
        <v>1</v>
      </c>
      <c r="L45" s="4"/>
      <c r="M45" s="4"/>
      <c r="N45" s="27"/>
      <c r="O45" s="71"/>
      <c r="P45" s="27"/>
      <c r="Q45" s="4"/>
      <c r="R45" s="18">
        <v>1</v>
      </c>
      <c r="S45" s="63"/>
      <c r="T45" s="6"/>
      <c r="Y45" s="26">
        <v>45274</v>
      </c>
    </row>
    <row r="46" spans="1:37" ht="15.5" customHeight="1" x14ac:dyDescent="0.35">
      <c r="A46" s="5">
        <f t="shared" si="1"/>
        <v>45</v>
      </c>
      <c r="B46" s="2" t="s">
        <v>119</v>
      </c>
      <c r="C46" s="3"/>
      <c r="D46" s="3"/>
      <c r="E46" s="3"/>
      <c r="F46" s="18"/>
      <c r="G46" s="1"/>
      <c r="H46" s="29"/>
      <c r="I46" s="29"/>
      <c r="J46" s="16"/>
      <c r="K46" s="16"/>
      <c r="L46" s="18">
        <v>1</v>
      </c>
      <c r="M46" s="4"/>
      <c r="N46" s="27"/>
      <c r="O46" s="71"/>
      <c r="P46" s="27"/>
      <c r="Q46" s="4"/>
      <c r="R46" s="27"/>
      <c r="S46" s="63"/>
      <c r="T46" s="6"/>
      <c r="Y46" s="32"/>
      <c r="Z46" s="33"/>
    </row>
    <row r="47" spans="1:37" ht="15.5" x14ac:dyDescent="0.35">
      <c r="A47" s="5">
        <f t="shared" si="1"/>
        <v>46</v>
      </c>
      <c r="B47" s="2" t="s">
        <v>6</v>
      </c>
      <c r="C47" s="3"/>
      <c r="D47" s="3"/>
      <c r="E47" s="3"/>
      <c r="F47" s="4"/>
      <c r="G47" s="3"/>
      <c r="H47" s="29"/>
      <c r="I47" s="29"/>
      <c r="J47" s="18">
        <v>1</v>
      </c>
      <c r="K47" s="3">
        <v>1</v>
      </c>
      <c r="L47" s="18">
        <v>1</v>
      </c>
      <c r="M47" s="3">
        <v>1</v>
      </c>
      <c r="N47" s="3">
        <v>1</v>
      </c>
      <c r="O47" s="71"/>
      <c r="P47" s="3">
        <v>1</v>
      </c>
      <c r="Q47" s="3">
        <v>1</v>
      </c>
      <c r="R47" s="58">
        <v>1</v>
      </c>
      <c r="S47" s="63"/>
      <c r="T47" s="6"/>
      <c r="Y47" s="26">
        <v>45181</v>
      </c>
    </row>
    <row r="48" spans="1:37" ht="15.5" customHeight="1" x14ac:dyDescent="0.35">
      <c r="A48" s="5">
        <f t="shared" si="1"/>
        <v>47</v>
      </c>
      <c r="B48" s="2" t="s">
        <v>7</v>
      </c>
      <c r="C48" s="3"/>
      <c r="D48" s="3"/>
      <c r="E48" s="3"/>
      <c r="F48" s="3"/>
      <c r="G48" s="1"/>
      <c r="H48" s="29"/>
      <c r="I48" s="29"/>
      <c r="J48" s="3">
        <v>1</v>
      </c>
      <c r="K48" s="3">
        <v>1</v>
      </c>
      <c r="L48" s="4"/>
      <c r="M48" s="3">
        <v>1</v>
      </c>
      <c r="N48" s="3">
        <v>1</v>
      </c>
      <c r="O48" s="71"/>
      <c r="P48" s="3">
        <v>1</v>
      </c>
      <c r="Q48" s="3">
        <v>1</v>
      </c>
      <c r="R48" s="58">
        <v>1</v>
      </c>
      <c r="S48" s="63"/>
      <c r="T48" s="6"/>
      <c r="Y48" s="26">
        <v>45261</v>
      </c>
    </row>
    <row r="49" spans="1:26" ht="15.5" customHeight="1" x14ac:dyDescent="0.35">
      <c r="A49" s="5">
        <f t="shared" si="1"/>
        <v>48</v>
      </c>
      <c r="B49" s="2" t="s">
        <v>22</v>
      </c>
      <c r="C49" s="4"/>
      <c r="D49" s="3"/>
      <c r="E49" s="3"/>
      <c r="F49" s="18"/>
      <c r="G49" s="3"/>
      <c r="H49" s="29"/>
      <c r="I49" s="29"/>
      <c r="J49" s="4"/>
      <c r="K49" s="4"/>
      <c r="L49" s="4"/>
      <c r="M49" s="3">
        <v>1</v>
      </c>
      <c r="N49" s="18">
        <v>1</v>
      </c>
      <c r="O49" s="71"/>
      <c r="P49" s="27"/>
      <c r="Q49" s="3">
        <v>1</v>
      </c>
      <c r="R49" s="27"/>
      <c r="S49" s="63"/>
      <c r="T49" s="6"/>
      <c r="Y49" s="26">
        <v>45182</v>
      </c>
    </row>
    <row r="50" spans="1:26" ht="15.5" x14ac:dyDescent="0.35">
      <c r="A50" s="5">
        <f t="shared" si="1"/>
        <v>49</v>
      </c>
      <c r="B50" s="2" t="s">
        <v>47</v>
      </c>
      <c r="C50" s="16"/>
      <c r="D50" s="16"/>
      <c r="E50" s="3"/>
      <c r="F50" s="4"/>
      <c r="G50" s="1"/>
      <c r="H50" s="29"/>
      <c r="I50" s="29"/>
      <c r="J50" s="4"/>
      <c r="K50" s="4"/>
      <c r="L50" s="4"/>
      <c r="M50" s="4"/>
      <c r="N50" s="18">
        <v>1</v>
      </c>
      <c r="O50" s="71"/>
      <c r="P50" s="27"/>
      <c r="Q50" s="4"/>
      <c r="R50" s="27"/>
      <c r="S50" s="63"/>
      <c r="T50" s="6"/>
    </row>
    <row r="51" spans="1:26" ht="15.5" customHeight="1" x14ac:dyDescent="0.35">
      <c r="A51" s="5">
        <f t="shared" si="1"/>
        <v>50</v>
      </c>
      <c r="B51" s="2" t="s">
        <v>90</v>
      </c>
      <c r="C51" s="4"/>
      <c r="D51" s="4"/>
      <c r="E51" s="4"/>
      <c r="F51" s="18"/>
      <c r="G51" s="1"/>
      <c r="H51" s="29"/>
      <c r="I51" s="29"/>
      <c r="J51" s="4"/>
      <c r="K51" s="4"/>
      <c r="L51" s="4"/>
      <c r="M51" s="4"/>
      <c r="N51" s="27"/>
      <c r="O51" s="71"/>
      <c r="P51" s="27"/>
      <c r="Q51" s="4"/>
      <c r="R51" s="27"/>
      <c r="S51" s="63"/>
      <c r="T51" s="6"/>
      <c r="Y51" s="26">
        <v>45261</v>
      </c>
    </row>
    <row r="52" spans="1:26" ht="15.5" customHeight="1" x14ac:dyDescent="0.35">
      <c r="A52" s="5">
        <f t="shared" si="1"/>
        <v>51</v>
      </c>
      <c r="B52" s="2" t="s">
        <v>40</v>
      </c>
      <c r="C52" s="3"/>
      <c r="D52" s="4"/>
      <c r="E52" s="3"/>
      <c r="F52" s="4"/>
      <c r="G52" s="3"/>
      <c r="H52" s="29"/>
      <c r="I52" s="29"/>
      <c r="J52" s="4"/>
      <c r="K52" s="4"/>
      <c r="L52" s="18">
        <v>1</v>
      </c>
      <c r="M52" s="4"/>
      <c r="N52" s="18">
        <v>1</v>
      </c>
      <c r="O52" s="71"/>
      <c r="P52" s="3">
        <v>1</v>
      </c>
      <c r="Q52" s="18">
        <v>1</v>
      </c>
      <c r="R52" s="27"/>
      <c r="S52" s="63"/>
      <c r="T52" s="6"/>
    </row>
    <row r="53" spans="1:26" ht="15.5" customHeight="1" x14ac:dyDescent="0.35">
      <c r="A53" s="5">
        <f t="shared" si="1"/>
        <v>52</v>
      </c>
      <c r="B53" s="2" t="s">
        <v>98</v>
      </c>
      <c r="C53" s="4"/>
      <c r="D53" s="3"/>
      <c r="E53" s="3"/>
      <c r="F53" s="4"/>
      <c r="G53" s="3"/>
      <c r="H53" s="29"/>
      <c r="I53" s="29"/>
      <c r="J53" s="18">
        <v>1</v>
      </c>
      <c r="K53" s="18">
        <v>1</v>
      </c>
      <c r="L53" s="18">
        <v>1</v>
      </c>
      <c r="M53" s="3">
        <v>1</v>
      </c>
      <c r="N53" s="27"/>
      <c r="O53" s="71"/>
      <c r="P53" s="3">
        <v>1</v>
      </c>
      <c r="Q53" s="4"/>
      <c r="R53" s="27"/>
      <c r="S53" s="63"/>
      <c r="T53" s="6"/>
      <c r="Y53" s="26">
        <v>45114</v>
      </c>
    </row>
    <row r="54" spans="1:26" ht="15.5" customHeight="1" x14ac:dyDescent="0.35">
      <c r="A54" s="5">
        <f t="shared" si="1"/>
        <v>53</v>
      </c>
      <c r="B54" s="52" t="s">
        <v>66</v>
      </c>
      <c r="C54" s="25"/>
      <c r="D54" s="25"/>
      <c r="E54" s="25"/>
      <c r="F54" s="25"/>
      <c r="G54" s="18"/>
      <c r="H54" s="30"/>
      <c r="I54" s="30"/>
      <c r="J54" s="24">
        <v>1</v>
      </c>
      <c r="K54" s="23">
        <v>1</v>
      </c>
      <c r="L54" s="23">
        <v>1</v>
      </c>
      <c r="M54" s="23">
        <v>1</v>
      </c>
      <c r="N54" s="27"/>
      <c r="O54" s="71"/>
      <c r="P54" s="27"/>
      <c r="Q54" s="27"/>
      <c r="R54" s="58">
        <v>1</v>
      </c>
      <c r="S54" s="63"/>
      <c r="T54" s="21"/>
    </row>
    <row r="55" spans="1:26" ht="15.5" customHeight="1" x14ac:dyDescent="0.35">
      <c r="A55" s="5">
        <f t="shared" si="1"/>
        <v>54</v>
      </c>
      <c r="B55" s="52" t="s">
        <v>33</v>
      </c>
      <c r="C55" s="27"/>
      <c r="D55" s="27"/>
      <c r="E55" s="27"/>
      <c r="F55" s="27"/>
      <c r="G55" s="1"/>
      <c r="H55" s="30"/>
      <c r="I55" s="30"/>
      <c r="J55" s="27"/>
      <c r="K55" s="44"/>
      <c r="L55" s="44"/>
      <c r="M55" s="23">
        <v>1</v>
      </c>
      <c r="N55" s="27"/>
      <c r="O55" s="71"/>
      <c r="P55" s="3">
        <v>1</v>
      </c>
      <c r="Q55" s="3">
        <v>1</v>
      </c>
      <c r="R55" s="3">
        <v>1</v>
      </c>
      <c r="S55" s="63"/>
      <c r="T55" s="21"/>
    </row>
    <row r="56" spans="1:26" ht="15.5" customHeight="1" x14ac:dyDescent="0.35">
      <c r="A56" s="5">
        <f t="shared" si="1"/>
        <v>55</v>
      </c>
      <c r="B56" s="52" t="s">
        <v>142</v>
      </c>
      <c r="C56" s="20"/>
      <c r="D56" s="20"/>
      <c r="E56" s="20"/>
      <c r="F56" s="20"/>
      <c r="G56" s="20"/>
      <c r="H56" s="30"/>
      <c r="I56" s="30"/>
      <c r="J56" s="3">
        <v>1</v>
      </c>
      <c r="K56" s="4"/>
      <c r="L56" s="4"/>
      <c r="M56" s="3">
        <v>1</v>
      </c>
      <c r="N56" s="37"/>
      <c r="O56" s="71"/>
      <c r="P56" s="37"/>
      <c r="Q56" s="27"/>
      <c r="R56" s="27"/>
      <c r="S56" s="63"/>
      <c r="T56" s="21"/>
      <c r="Z56" s="31"/>
    </row>
    <row r="57" spans="1:26" ht="15.5" customHeight="1" x14ac:dyDescent="0.35">
      <c r="A57" s="5">
        <f t="shared" si="1"/>
        <v>56</v>
      </c>
      <c r="B57" s="52" t="s">
        <v>45</v>
      </c>
      <c r="C57" s="27"/>
      <c r="D57" s="27"/>
      <c r="E57" s="23"/>
      <c r="F57" s="27"/>
      <c r="G57" s="20"/>
      <c r="H57" s="30"/>
      <c r="I57" s="30"/>
      <c r="J57" s="24">
        <v>1</v>
      </c>
      <c r="K57" s="27"/>
      <c r="L57" s="4"/>
      <c r="M57" s="27"/>
      <c r="N57" s="27"/>
      <c r="O57" s="71"/>
      <c r="P57" s="27"/>
      <c r="Q57" s="3">
        <v>1</v>
      </c>
      <c r="R57" s="27"/>
      <c r="S57" s="63"/>
      <c r="T57" s="21"/>
      <c r="Y57" s="26">
        <v>45272</v>
      </c>
    </row>
    <row r="58" spans="1:26" ht="15.5" x14ac:dyDescent="0.35">
      <c r="A58" s="5">
        <f t="shared" si="1"/>
        <v>57</v>
      </c>
      <c r="B58" s="52" t="s">
        <v>44</v>
      </c>
      <c r="C58" s="27"/>
      <c r="D58" s="23"/>
      <c r="E58" s="23"/>
      <c r="F58" s="27"/>
      <c r="G58" s="20"/>
      <c r="H58" s="30"/>
      <c r="I58" s="30"/>
      <c r="J58" s="27"/>
      <c r="K58" s="27"/>
      <c r="L58" s="44"/>
      <c r="M58" s="18">
        <v>1</v>
      </c>
      <c r="N58" s="37"/>
      <c r="O58" s="71"/>
      <c r="P58" s="37"/>
      <c r="Q58" s="27"/>
      <c r="R58" s="27"/>
      <c r="S58" s="63"/>
      <c r="T58" s="21"/>
    </row>
    <row r="59" spans="1:26" ht="15.5" customHeight="1" x14ac:dyDescent="0.35">
      <c r="A59" s="5">
        <f t="shared" si="1"/>
        <v>58</v>
      </c>
      <c r="B59" s="22" t="s">
        <v>129</v>
      </c>
      <c r="C59" s="23"/>
      <c r="D59" s="23"/>
      <c r="E59" s="23"/>
      <c r="F59" s="27"/>
      <c r="G59" s="27"/>
      <c r="H59" s="30"/>
      <c r="I59" s="30"/>
      <c r="J59" s="27"/>
      <c r="K59" s="4"/>
      <c r="L59" s="27"/>
      <c r="M59" s="3">
        <v>1</v>
      </c>
      <c r="N59" s="3">
        <v>1</v>
      </c>
      <c r="O59" s="71"/>
      <c r="P59" s="27"/>
      <c r="Q59" s="3">
        <v>1</v>
      </c>
      <c r="R59" s="27"/>
      <c r="S59" s="63"/>
      <c r="T59" s="21"/>
    </row>
    <row r="60" spans="1:26" ht="16" customHeight="1" x14ac:dyDescent="0.35">
      <c r="A60" s="5">
        <f t="shared" si="1"/>
        <v>59</v>
      </c>
      <c r="B60" s="22" t="s">
        <v>137</v>
      </c>
      <c r="C60" s="23"/>
      <c r="D60" s="23"/>
      <c r="E60" s="23"/>
      <c r="F60" s="24"/>
      <c r="G60" s="20"/>
      <c r="H60" s="30"/>
      <c r="I60" s="30"/>
      <c r="J60" s="25"/>
      <c r="K60" s="23">
        <v>1</v>
      </c>
      <c r="L60" s="23">
        <v>1</v>
      </c>
      <c r="M60" s="24">
        <v>1</v>
      </c>
      <c r="N60" s="3">
        <v>1</v>
      </c>
      <c r="O60" s="71"/>
      <c r="P60" s="27"/>
      <c r="Q60" s="27"/>
      <c r="R60" s="3">
        <v>1</v>
      </c>
      <c r="S60" s="63"/>
      <c r="T60" s="21"/>
      <c r="Y60" s="32"/>
      <c r="Z60" s="33" t="s">
        <v>92</v>
      </c>
    </row>
    <row r="61" spans="1:26" ht="15.5" x14ac:dyDescent="0.35">
      <c r="A61" s="5">
        <f t="shared" si="1"/>
        <v>60</v>
      </c>
      <c r="B61" s="22" t="s">
        <v>77</v>
      </c>
      <c r="C61" s="25"/>
      <c r="D61" s="25"/>
      <c r="E61" s="25"/>
      <c r="F61" s="25"/>
      <c r="G61" s="25"/>
      <c r="H61" s="30"/>
      <c r="I61" s="30"/>
      <c r="J61" s="24">
        <v>1</v>
      </c>
      <c r="K61" s="27"/>
      <c r="L61" s="27"/>
      <c r="M61" s="27"/>
      <c r="N61" s="27"/>
      <c r="O61" s="71"/>
      <c r="P61" s="27"/>
      <c r="Q61" s="27"/>
      <c r="R61" s="27"/>
      <c r="S61" s="63"/>
      <c r="T61" s="21"/>
      <c r="Y61" s="26">
        <v>44951</v>
      </c>
      <c r="Z61" s="31" t="s">
        <v>78</v>
      </c>
    </row>
    <row r="62" spans="1:26" ht="15.5" x14ac:dyDescent="0.35">
      <c r="A62" s="5">
        <f t="shared" ref="A62:A79" si="2">A61+1</f>
        <v>61</v>
      </c>
      <c r="B62" s="22" t="s">
        <v>116</v>
      </c>
      <c r="C62" s="27"/>
      <c r="D62" s="23"/>
      <c r="E62" s="27"/>
      <c r="F62" s="24"/>
      <c r="G62" s="20"/>
      <c r="H62" s="30"/>
      <c r="I62" s="30"/>
      <c r="J62" s="27"/>
      <c r="K62" s="27"/>
      <c r="L62" s="18">
        <v>1</v>
      </c>
      <c r="M62" s="18">
        <v>1</v>
      </c>
      <c r="N62" s="27"/>
      <c r="O62" s="71"/>
      <c r="P62" s="27"/>
      <c r="Q62" s="3">
        <v>1</v>
      </c>
      <c r="R62" s="27"/>
      <c r="S62" s="63"/>
      <c r="T62" s="21"/>
    </row>
    <row r="63" spans="1:26" ht="15.5" x14ac:dyDescent="0.35">
      <c r="A63" s="5">
        <f t="shared" si="2"/>
        <v>62</v>
      </c>
      <c r="B63" s="22" t="s">
        <v>8</v>
      </c>
      <c r="C63" s="23"/>
      <c r="D63" s="27"/>
      <c r="E63" s="27"/>
      <c r="F63" s="20"/>
      <c r="G63" s="20"/>
      <c r="H63" s="30"/>
      <c r="I63" s="30"/>
      <c r="J63" s="27"/>
      <c r="K63" s="27"/>
      <c r="L63" s="24">
        <v>1</v>
      </c>
      <c r="M63" s="4"/>
      <c r="N63" s="37"/>
      <c r="O63" s="71"/>
      <c r="P63" s="27"/>
      <c r="Q63" s="27"/>
      <c r="R63" s="27"/>
      <c r="S63" s="63"/>
      <c r="T63" s="21"/>
      <c r="Y63" s="26">
        <v>44978</v>
      </c>
    </row>
    <row r="64" spans="1:26" ht="15.5" x14ac:dyDescent="0.35">
      <c r="A64" s="5">
        <f t="shared" si="2"/>
        <v>63</v>
      </c>
      <c r="B64" s="22" t="s">
        <v>96</v>
      </c>
      <c r="C64" s="23"/>
      <c r="D64" s="23"/>
      <c r="E64" s="23"/>
      <c r="F64" s="24"/>
      <c r="G64" s="20"/>
      <c r="H64" s="30"/>
      <c r="I64" s="30"/>
      <c r="J64" s="25"/>
      <c r="K64" s="3"/>
      <c r="L64" s="24">
        <v>1</v>
      </c>
      <c r="M64" s="4"/>
      <c r="N64" s="27"/>
      <c r="O64" s="71"/>
      <c r="P64" s="27"/>
      <c r="Q64" s="27"/>
      <c r="R64" s="27"/>
      <c r="S64" s="63"/>
      <c r="T64" s="21"/>
      <c r="Y64" s="32"/>
      <c r="Z64" s="33" t="s">
        <v>93</v>
      </c>
    </row>
    <row r="65" spans="1:27" ht="15.5" x14ac:dyDescent="0.35">
      <c r="A65" s="5">
        <f t="shared" si="2"/>
        <v>64</v>
      </c>
      <c r="B65" s="22" t="s">
        <v>9</v>
      </c>
      <c r="C65" s="23"/>
      <c r="D65" s="23"/>
      <c r="E65" s="27"/>
      <c r="F65" s="27"/>
      <c r="G65" s="24"/>
      <c r="H65" s="30"/>
      <c r="I65" s="30"/>
      <c r="J65" s="27"/>
      <c r="K65" s="27"/>
      <c r="L65" s="27"/>
      <c r="M65" s="18">
        <v>1</v>
      </c>
      <c r="N65" s="24">
        <v>1</v>
      </c>
      <c r="O65" s="71"/>
      <c r="P65" s="27"/>
      <c r="Q65" s="27"/>
      <c r="R65" s="27"/>
      <c r="S65" s="63"/>
      <c r="T65" s="21"/>
      <c r="Y65" s="26">
        <v>44968</v>
      </c>
    </row>
    <row r="66" spans="1:27" ht="15.5" x14ac:dyDescent="0.35">
      <c r="A66" s="5">
        <f t="shared" si="2"/>
        <v>65</v>
      </c>
      <c r="B66" s="22" t="s">
        <v>42</v>
      </c>
      <c r="C66" s="27"/>
      <c r="D66" s="27"/>
      <c r="E66" s="23"/>
      <c r="F66" s="23"/>
      <c r="G66" s="20"/>
      <c r="H66" s="30"/>
      <c r="I66" s="30"/>
      <c r="J66" s="27"/>
      <c r="K66" s="23">
        <v>1</v>
      </c>
      <c r="L66" s="27"/>
      <c r="M66" s="4"/>
      <c r="N66" s="37"/>
      <c r="O66" s="71"/>
      <c r="P66" s="3">
        <v>1</v>
      </c>
      <c r="Q66" s="3">
        <v>1</v>
      </c>
      <c r="R66" s="27"/>
      <c r="S66" s="63"/>
      <c r="T66" s="21"/>
      <c r="Y66" s="26">
        <v>44930</v>
      </c>
    </row>
    <row r="67" spans="1:27" ht="15.5" x14ac:dyDescent="0.35">
      <c r="A67" s="5">
        <f t="shared" si="2"/>
        <v>66</v>
      </c>
      <c r="B67" s="66" t="s">
        <v>23</v>
      </c>
      <c r="C67" s="27"/>
      <c r="D67" s="23"/>
      <c r="E67" s="27"/>
      <c r="F67" s="23"/>
      <c r="G67" s="23"/>
      <c r="H67" s="30"/>
      <c r="I67" s="30"/>
      <c r="J67" s="27"/>
      <c r="K67" s="3">
        <v>1</v>
      </c>
      <c r="L67" s="4"/>
      <c r="M67" s="3">
        <v>1</v>
      </c>
      <c r="N67" s="27"/>
      <c r="O67" s="71"/>
      <c r="P67" s="3">
        <v>1</v>
      </c>
      <c r="Q67" s="27"/>
      <c r="R67" s="18">
        <v>1</v>
      </c>
      <c r="S67" s="63"/>
      <c r="T67" s="21"/>
      <c r="Y67" s="26">
        <v>45144</v>
      </c>
    </row>
    <row r="68" spans="1:27" ht="15.5" x14ac:dyDescent="0.35">
      <c r="A68" s="5">
        <f t="shared" si="2"/>
        <v>67</v>
      </c>
      <c r="B68" s="22" t="s">
        <v>35</v>
      </c>
      <c r="C68" s="27"/>
      <c r="D68" s="27"/>
      <c r="E68" s="27"/>
      <c r="F68" s="27"/>
      <c r="G68" s="20"/>
      <c r="H68" s="30"/>
      <c r="I68" s="30"/>
      <c r="J68" s="27"/>
      <c r="K68" s="27"/>
      <c r="L68" s="27"/>
      <c r="M68" s="27"/>
      <c r="N68" s="27"/>
      <c r="O68" s="71"/>
      <c r="P68" s="27"/>
      <c r="Q68" s="27"/>
      <c r="R68" s="27"/>
      <c r="S68" s="63"/>
      <c r="T68" s="21"/>
      <c r="Y68" s="26">
        <v>45209</v>
      </c>
      <c r="Z68" s="31" t="s">
        <v>70</v>
      </c>
      <c r="AA68" t="s">
        <v>95</v>
      </c>
    </row>
    <row r="69" spans="1:27" ht="15.5" x14ac:dyDescent="0.35">
      <c r="A69" s="5">
        <f t="shared" si="2"/>
        <v>68</v>
      </c>
      <c r="B69" s="22" t="s">
        <v>50</v>
      </c>
      <c r="C69" s="27"/>
      <c r="D69" s="27"/>
      <c r="E69" s="27"/>
      <c r="F69" s="23"/>
      <c r="G69" s="20"/>
      <c r="H69" s="30"/>
      <c r="I69" s="30"/>
      <c r="J69" s="27"/>
      <c r="K69" s="27"/>
      <c r="L69" s="27"/>
      <c r="M69" s="27"/>
      <c r="N69" s="27"/>
      <c r="O69" s="71"/>
      <c r="P69" s="27"/>
      <c r="Q69" s="27"/>
      <c r="R69" s="27"/>
      <c r="S69" s="63"/>
      <c r="T69" s="21"/>
      <c r="Y69" s="26">
        <v>45233</v>
      </c>
    </row>
    <row r="70" spans="1:27" ht="15.5" x14ac:dyDescent="0.35">
      <c r="A70" s="5">
        <f t="shared" si="2"/>
        <v>69</v>
      </c>
      <c r="B70" s="22" t="s">
        <v>48</v>
      </c>
      <c r="C70" s="27"/>
      <c r="D70" s="23"/>
      <c r="E70" s="23"/>
      <c r="F70" s="23"/>
      <c r="G70" s="23"/>
      <c r="H70" s="30"/>
      <c r="I70" s="30"/>
      <c r="J70" s="23">
        <v>1</v>
      </c>
      <c r="K70" s="4"/>
      <c r="L70" s="3">
        <v>1</v>
      </c>
      <c r="M70" s="18">
        <v>1</v>
      </c>
      <c r="N70" s="27"/>
      <c r="O70" s="71"/>
      <c r="P70" s="27"/>
      <c r="Q70" s="27"/>
      <c r="R70" s="27"/>
      <c r="S70" s="63"/>
      <c r="T70" s="21"/>
      <c r="Y70" s="26">
        <v>45233</v>
      </c>
      <c r="Z70" s="31" t="s">
        <v>73</v>
      </c>
    </row>
    <row r="71" spans="1:27" ht="15.5" x14ac:dyDescent="0.35">
      <c r="A71" s="5">
        <f t="shared" si="2"/>
        <v>70</v>
      </c>
      <c r="B71" s="22" t="s">
        <v>41</v>
      </c>
      <c r="C71" s="23"/>
      <c r="D71" s="27"/>
      <c r="E71" s="23"/>
      <c r="F71" s="27"/>
      <c r="G71" s="20"/>
      <c r="H71" s="30"/>
      <c r="I71" s="30"/>
      <c r="J71" s="24">
        <v>1</v>
      </c>
      <c r="K71" s="27"/>
      <c r="L71" s="4"/>
      <c r="M71" s="27"/>
      <c r="N71" s="18">
        <v>1</v>
      </c>
      <c r="O71" s="71"/>
      <c r="P71" s="3">
        <v>1</v>
      </c>
      <c r="Q71" s="18">
        <v>1</v>
      </c>
      <c r="R71" s="27"/>
      <c r="S71" s="63"/>
      <c r="T71" s="21"/>
      <c r="Y71" s="26"/>
      <c r="Z71" s="31" t="s">
        <v>74</v>
      </c>
    </row>
    <row r="72" spans="1:27" ht="15.5" x14ac:dyDescent="0.35">
      <c r="A72" s="5">
        <f t="shared" si="2"/>
        <v>71</v>
      </c>
      <c r="B72" s="22" t="s">
        <v>12</v>
      </c>
      <c r="C72" s="27"/>
      <c r="D72" s="23"/>
      <c r="E72" s="27"/>
      <c r="F72" s="23"/>
      <c r="G72" s="23"/>
      <c r="H72" s="30"/>
      <c r="I72" s="30"/>
      <c r="J72" s="23">
        <v>1</v>
      </c>
      <c r="K72" s="23">
        <v>1</v>
      </c>
      <c r="L72" s="4"/>
      <c r="M72" s="23">
        <v>1</v>
      </c>
      <c r="N72" s="23">
        <v>1</v>
      </c>
      <c r="O72" s="71"/>
      <c r="P72" s="3">
        <v>1</v>
      </c>
      <c r="Q72" s="3">
        <v>1</v>
      </c>
      <c r="R72" s="18">
        <v>1</v>
      </c>
      <c r="S72" s="63"/>
      <c r="T72" s="21"/>
      <c r="Y72" s="26">
        <v>45073</v>
      </c>
      <c r="Z72" s="31" t="s">
        <v>76</v>
      </c>
    </row>
    <row r="73" spans="1:27" ht="15.5" x14ac:dyDescent="0.35">
      <c r="A73" s="5">
        <f t="shared" si="2"/>
        <v>72</v>
      </c>
      <c r="B73" s="22" t="s">
        <v>60</v>
      </c>
      <c r="C73" s="25"/>
      <c r="D73" s="25"/>
      <c r="E73" s="25"/>
      <c r="F73" s="25"/>
      <c r="G73" s="23"/>
      <c r="H73" s="30"/>
      <c r="I73" s="30"/>
      <c r="J73" s="27"/>
      <c r="K73" s="27"/>
      <c r="L73" s="27"/>
      <c r="M73" s="4"/>
      <c r="N73" s="27"/>
      <c r="O73" s="71"/>
      <c r="P73" s="27"/>
      <c r="Q73" s="27"/>
      <c r="R73" s="27"/>
      <c r="S73" s="63"/>
      <c r="T73" s="21"/>
      <c r="Y73" s="32"/>
      <c r="Z73" s="31" t="s">
        <v>78</v>
      </c>
    </row>
    <row r="74" spans="1:27" ht="15.5" x14ac:dyDescent="0.35">
      <c r="A74" s="5">
        <f t="shared" si="2"/>
        <v>73</v>
      </c>
      <c r="B74" s="22" t="s">
        <v>83</v>
      </c>
      <c r="C74" s="25"/>
      <c r="D74" s="25"/>
      <c r="E74" s="25"/>
      <c r="F74" s="25"/>
      <c r="G74" s="25"/>
      <c r="H74" s="30"/>
      <c r="I74" s="30"/>
      <c r="J74" s="24">
        <v>1</v>
      </c>
      <c r="K74" s="24">
        <v>1</v>
      </c>
      <c r="L74" s="4"/>
      <c r="M74" s="23">
        <v>1</v>
      </c>
      <c r="N74" s="18">
        <v>1</v>
      </c>
      <c r="O74" s="71"/>
      <c r="P74" s="27"/>
      <c r="Q74" s="18">
        <v>1</v>
      </c>
      <c r="R74" s="27"/>
      <c r="S74" s="63"/>
      <c r="T74" s="21"/>
      <c r="Y74" s="32">
        <v>45023</v>
      </c>
      <c r="Z74" s="31" t="s">
        <v>87</v>
      </c>
    </row>
    <row r="75" spans="1:27" ht="15.5" x14ac:dyDescent="0.35">
      <c r="A75" s="19">
        <f t="shared" si="2"/>
        <v>74</v>
      </c>
      <c r="B75" s="51" t="s">
        <v>120</v>
      </c>
      <c r="C75" s="1"/>
      <c r="D75" s="1"/>
      <c r="E75" s="1"/>
      <c r="F75" s="1"/>
      <c r="G75" s="1"/>
      <c r="H75" s="29"/>
      <c r="I75" s="29"/>
      <c r="J75" s="16"/>
      <c r="K75" s="16"/>
      <c r="L75" s="16"/>
      <c r="M75" s="3">
        <v>1</v>
      </c>
      <c r="N75" s="3">
        <v>1</v>
      </c>
      <c r="O75" s="71"/>
      <c r="P75" s="3">
        <v>1</v>
      </c>
      <c r="Q75" s="3">
        <v>1</v>
      </c>
      <c r="R75" s="27"/>
      <c r="S75" s="63"/>
      <c r="T75" s="6"/>
      <c r="Z75" s="31"/>
    </row>
    <row r="76" spans="1:27" ht="15.5" x14ac:dyDescent="0.35">
      <c r="A76" s="19">
        <f t="shared" si="2"/>
        <v>75</v>
      </c>
      <c r="B76" s="2" t="s">
        <v>1</v>
      </c>
      <c r="C76" s="3"/>
      <c r="D76" s="3"/>
      <c r="E76" s="3"/>
      <c r="F76" s="3"/>
      <c r="G76" s="3"/>
      <c r="H76" s="29"/>
      <c r="I76" s="29"/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71"/>
      <c r="P76" s="3">
        <v>1</v>
      </c>
      <c r="Q76" s="3">
        <v>1</v>
      </c>
      <c r="R76" s="18">
        <v>1</v>
      </c>
      <c r="S76" s="63"/>
      <c r="T76" s="6"/>
      <c r="Y76" s="32">
        <v>45117</v>
      </c>
      <c r="Z76" s="31"/>
    </row>
    <row r="77" spans="1:27" ht="15.5" x14ac:dyDescent="0.35">
      <c r="A77" s="19">
        <f t="shared" si="2"/>
        <v>76</v>
      </c>
      <c r="B77" s="2" t="s">
        <v>81</v>
      </c>
      <c r="C77" s="16"/>
      <c r="D77" s="16"/>
      <c r="E77" s="16"/>
      <c r="F77" s="16"/>
      <c r="G77" s="16"/>
      <c r="H77" s="29"/>
      <c r="I77" s="29"/>
      <c r="J77" s="18">
        <v>1</v>
      </c>
      <c r="K77" s="4"/>
      <c r="L77" s="4"/>
      <c r="M77" s="4"/>
      <c r="N77" s="27"/>
      <c r="O77" s="71"/>
      <c r="P77" s="27"/>
      <c r="Q77" s="4"/>
      <c r="R77" s="27"/>
      <c r="S77" s="63"/>
      <c r="T77" s="6"/>
      <c r="Y77" s="32">
        <v>45200</v>
      </c>
      <c r="Z77" s="33" t="s">
        <v>82</v>
      </c>
    </row>
    <row r="78" spans="1:27" ht="15.5" x14ac:dyDescent="0.35">
      <c r="A78" s="19">
        <f t="shared" si="2"/>
        <v>77</v>
      </c>
      <c r="B78" s="2" t="s">
        <v>46</v>
      </c>
      <c r="C78" s="4"/>
      <c r="D78" s="4"/>
      <c r="E78" s="3"/>
      <c r="F78" s="4"/>
      <c r="G78" s="1"/>
      <c r="H78" s="29"/>
      <c r="I78" s="29"/>
      <c r="J78" s="4"/>
      <c r="K78" s="4"/>
      <c r="L78" s="4"/>
      <c r="M78" s="4"/>
      <c r="N78" s="18">
        <v>1</v>
      </c>
      <c r="O78" s="71"/>
      <c r="P78" s="27"/>
      <c r="Q78" s="4"/>
      <c r="R78" s="27"/>
      <c r="S78" s="63"/>
      <c r="T78" s="6"/>
      <c r="Y78" s="32"/>
      <c r="Z78" s="33"/>
    </row>
    <row r="79" spans="1:27" ht="15.5" x14ac:dyDescent="0.35">
      <c r="A79" s="5">
        <f t="shared" si="2"/>
        <v>78</v>
      </c>
      <c r="B79" s="2" t="s">
        <v>10</v>
      </c>
      <c r="C79" s="3"/>
      <c r="D79" s="3"/>
      <c r="E79" s="3"/>
      <c r="F79" s="18"/>
      <c r="G79" s="1"/>
      <c r="H79" s="29"/>
      <c r="I79" s="29"/>
      <c r="J79" s="18">
        <v>1</v>
      </c>
      <c r="K79" s="3">
        <v>1</v>
      </c>
      <c r="L79" s="18">
        <v>1</v>
      </c>
      <c r="M79" s="3">
        <v>1</v>
      </c>
      <c r="N79" s="3">
        <v>1</v>
      </c>
      <c r="O79" s="71"/>
      <c r="P79" s="3">
        <v>1</v>
      </c>
      <c r="Q79" s="4"/>
      <c r="R79" s="18">
        <v>1</v>
      </c>
      <c r="S79" s="63"/>
      <c r="T79" s="6"/>
      <c r="Y79" s="32">
        <v>45121</v>
      </c>
    </row>
    <row r="80" spans="1:27" ht="15.5" x14ac:dyDescent="0.35">
      <c r="A80" s="5"/>
      <c r="B80" s="51" t="s">
        <v>130</v>
      </c>
      <c r="C80" s="3"/>
      <c r="D80" s="3"/>
      <c r="E80" s="3"/>
      <c r="F80" s="18"/>
      <c r="G80" s="1"/>
      <c r="H80" s="29"/>
      <c r="I80" s="29"/>
      <c r="J80" s="16"/>
      <c r="K80" s="16"/>
      <c r="L80" s="16"/>
      <c r="M80" s="16"/>
      <c r="N80" s="3">
        <v>1</v>
      </c>
      <c r="O80" s="71"/>
      <c r="P80" s="27"/>
      <c r="Q80" s="4"/>
      <c r="R80" s="27"/>
      <c r="S80" s="63"/>
      <c r="T80" s="6"/>
      <c r="Y80" s="32"/>
      <c r="Z80" s="31" t="s">
        <v>131</v>
      </c>
    </row>
    <row r="81" spans="1:27" ht="15.5" x14ac:dyDescent="0.35">
      <c r="A81" s="5"/>
      <c r="B81" s="51" t="s">
        <v>132</v>
      </c>
      <c r="C81" s="3"/>
      <c r="D81" s="3"/>
      <c r="E81" s="3"/>
      <c r="F81" s="18"/>
      <c r="G81" s="1"/>
      <c r="H81" s="29"/>
      <c r="I81" s="29"/>
      <c r="J81" s="16"/>
      <c r="K81" s="16"/>
      <c r="L81" s="16"/>
      <c r="M81" s="16"/>
      <c r="N81" s="3">
        <v>1</v>
      </c>
      <c r="O81" s="71"/>
      <c r="P81" s="27"/>
      <c r="Q81" s="4"/>
      <c r="R81" s="27"/>
      <c r="S81" s="63"/>
      <c r="T81" s="6"/>
      <c r="Y81" s="32"/>
      <c r="Z81" s="31"/>
    </row>
    <row r="82" spans="1:27" ht="15.5" x14ac:dyDescent="0.35">
      <c r="A82" s="5"/>
      <c r="B82" s="51" t="s">
        <v>133</v>
      </c>
      <c r="C82" s="3"/>
      <c r="D82" s="3"/>
      <c r="E82" s="3"/>
      <c r="F82" s="18"/>
      <c r="G82" s="1"/>
      <c r="H82" s="29"/>
      <c r="I82" s="29"/>
      <c r="J82" s="16"/>
      <c r="K82" s="16"/>
      <c r="L82" s="16"/>
      <c r="M82" s="16"/>
      <c r="N82" s="3">
        <v>1</v>
      </c>
      <c r="O82" s="71"/>
      <c r="P82" s="27"/>
      <c r="Q82" s="58">
        <v>1</v>
      </c>
      <c r="R82" s="58">
        <v>1</v>
      </c>
      <c r="S82" s="63"/>
      <c r="T82" s="6"/>
      <c r="Y82" s="32"/>
      <c r="Z82" s="31"/>
    </row>
    <row r="83" spans="1:27" ht="15.5" x14ac:dyDescent="0.35">
      <c r="A83" s="5"/>
      <c r="B83" s="51" t="s">
        <v>134</v>
      </c>
      <c r="C83" s="3"/>
      <c r="D83" s="3"/>
      <c r="E83" s="3"/>
      <c r="F83" s="18"/>
      <c r="G83" s="1"/>
      <c r="H83" s="29"/>
      <c r="I83" s="29"/>
      <c r="J83" s="16"/>
      <c r="K83" s="16"/>
      <c r="L83" s="16"/>
      <c r="M83" s="16"/>
      <c r="N83" s="18">
        <v>1</v>
      </c>
      <c r="O83" s="71"/>
      <c r="P83" s="27"/>
      <c r="Q83" s="4"/>
      <c r="R83" s="58">
        <v>1</v>
      </c>
      <c r="S83" s="63"/>
      <c r="T83" s="6"/>
      <c r="Y83" s="32"/>
      <c r="Z83" s="31"/>
    </row>
    <row r="84" spans="1:27" ht="15.5" x14ac:dyDescent="0.35">
      <c r="A84" s="5"/>
      <c r="B84" s="51" t="s">
        <v>135</v>
      </c>
      <c r="C84" s="3"/>
      <c r="D84" s="3"/>
      <c r="E84" s="3"/>
      <c r="F84" s="18"/>
      <c r="G84" s="1"/>
      <c r="H84" s="29"/>
      <c r="I84" s="29"/>
      <c r="J84" s="16"/>
      <c r="K84" s="16"/>
      <c r="L84" s="16"/>
      <c r="M84" s="16"/>
      <c r="N84" s="18">
        <v>1</v>
      </c>
      <c r="O84" s="71"/>
      <c r="P84" s="27"/>
      <c r="Q84" s="4"/>
      <c r="R84" s="27"/>
      <c r="S84" s="63"/>
      <c r="T84" s="6"/>
      <c r="Y84" s="32"/>
      <c r="Z84" s="31"/>
    </row>
    <row r="85" spans="1:27" ht="15.5" x14ac:dyDescent="0.35">
      <c r="A85" s="5"/>
      <c r="B85" s="51" t="s">
        <v>136</v>
      </c>
      <c r="C85" s="3"/>
      <c r="D85" s="3"/>
      <c r="E85" s="3"/>
      <c r="F85" s="18"/>
      <c r="G85" s="1"/>
      <c r="H85" s="29"/>
      <c r="I85" s="29"/>
      <c r="J85" s="16"/>
      <c r="K85" s="16"/>
      <c r="L85" s="16"/>
      <c r="M85" s="16"/>
      <c r="N85" s="18">
        <v>1</v>
      </c>
      <c r="O85" s="71"/>
      <c r="P85" s="27"/>
      <c r="Q85" s="4"/>
      <c r="R85" s="27"/>
      <c r="S85" s="63"/>
      <c r="T85" s="6"/>
      <c r="Y85" s="32"/>
      <c r="Z85" s="31"/>
    </row>
    <row r="86" spans="1:27" ht="15.5" x14ac:dyDescent="0.35">
      <c r="A86" s="5"/>
      <c r="B86" s="51" t="s">
        <v>139</v>
      </c>
      <c r="C86" s="58"/>
      <c r="D86" s="58"/>
      <c r="E86" s="58"/>
      <c r="F86" s="59"/>
      <c r="G86" s="60"/>
      <c r="H86" s="29"/>
      <c r="I86" s="29"/>
      <c r="J86" s="61"/>
      <c r="K86" s="61"/>
      <c r="L86" s="61"/>
      <c r="M86" s="61"/>
      <c r="N86" s="61"/>
      <c r="O86" s="71"/>
      <c r="P86" s="3">
        <v>1</v>
      </c>
      <c r="Q86" s="67"/>
      <c r="R86" s="27"/>
      <c r="S86" s="63"/>
      <c r="T86" s="6"/>
      <c r="Y86" s="32"/>
      <c r="Z86" s="31"/>
    </row>
    <row r="87" spans="1:27" ht="15.5" x14ac:dyDescent="0.35">
      <c r="A87" s="5"/>
      <c r="B87" s="51" t="s">
        <v>140</v>
      </c>
      <c r="C87" s="58"/>
      <c r="D87" s="58"/>
      <c r="E87" s="58"/>
      <c r="F87" s="59"/>
      <c r="G87" s="60"/>
      <c r="H87" s="29"/>
      <c r="I87" s="29"/>
      <c r="J87" s="61"/>
      <c r="K87" s="61"/>
      <c r="L87" s="61"/>
      <c r="M87" s="61"/>
      <c r="N87" s="61"/>
      <c r="O87" s="71"/>
      <c r="P87" s="58">
        <v>1</v>
      </c>
      <c r="Q87" s="4"/>
      <c r="R87" s="27"/>
      <c r="S87" s="63"/>
      <c r="T87" s="6"/>
      <c r="Y87" s="32"/>
      <c r="Z87" s="31"/>
    </row>
    <row r="88" spans="1:27" ht="15.5" x14ac:dyDescent="0.35">
      <c r="A88" s="5"/>
      <c r="B88" s="68" t="s">
        <v>143</v>
      </c>
      <c r="C88" s="58"/>
      <c r="D88" s="58"/>
      <c r="E88" s="58"/>
      <c r="F88" s="59"/>
      <c r="G88" s="60"/>
      <c r="H88" s="29"/>
      <c r="I88" s="29"/>
      <c r="J88" s="61"/>
      <c r="K88" s="61"/>
      <c r="L88" s="61"/>
      <c r="M88" s="61"/>
      <c r="N88" s="61"/>
      <c r="O88" s="71"/>
      <c r="P88" s="61"/>
      <c r="Q88" s="58">
        <v>1</v>
      </c>
      <c r="R88" s="27"/>
      <c r="S88" s="63"/>
      <c r="T88" s="6"/>
      <c r="Y88" s="32"/>
      <c r="Z88" s="31"/>
    </row>
    <row r="89" spans="1:27" ht="15.5" x14ac:dyDescent="0.35">
      <c r="A89" s="5"/>
      <c r="B89" s="68" t="s">
        <v>144</v>
      </c>
      <c r="C89" s="58"/>
      <c r="D89" s="58"/>
      <c r="E89" s="58"/>
      <c r="F89" s="59"/>
      <c r="G89" s="60"/>
      <c r="H89" s="29"/>
      <c r="I89" s="29"/>
      <c r="J89" s="61"/>
      <c r="K89" s="61"/>
      <c r="L89" s="61"/>
      <c r="M89" s="61"/>
      <c r="N89" s="61"/>
      <c r="O89" s="71"/>
      <c r="P89" s="61"/>
      <c r="Q89" s="58">
        <v>1</v>
      </c>
      <c r="R89" s="27"/>
      <c r="S89" s="63"/>
      <c r="T89" s="6"/>
      <c r="Y89" s="32"/>
      <c r="Z89" s="31"/>
      <c r="AA89" t="s">
        <v>151</v>
      </c>
    </row>
    <row r="90" spans="1:27" ht="15.5" x14ac:dyDescent="0.35">
      <c r="A90" s="5"/>
      <c r="B90" s="68" t="s">
        <v>145</v>
      </c>
      <c r="C90" s="58"/>
      <c r="D90" s="58"/>
      <c r="E90" s="58"/>
      <c r="F90" s="59"/>
      <c r="G90" s="60"/>
      <c r="H90" s="29"/>
      <c r="I90" s="29"/>
      <c r="J90" s="61"/>
      <c r="K90" s="61"/>
      <c r="L90" s="61"/>
      <c r="M90" s="61"/>
      <c r="N90" s="61"/>
      <c r="O90" s="71"/>
      <c r="P90" s="61"/>
      <c r="Q90" s="58">
        <v>1</v>
      </c>
      <c r="R90" s="27"/>
      <c r="S90" s="63"/>
      <c r="T90" s="6"/>
      <c r="Y90" s="32"/>
      <c r="Z90" s="31"/>
    </row>
    <row r="91" spans="1:27" ht="15.5" x14ac:dyDescent="0.35">
      <c r="A91" s="5"/>
      <c r="B91" s="68" t="s">
        <v>147</v>
      </c>
      <c r="C91" s="58"/>
      <c r="D91" s="58"/>
      <c r="E91" s="58"/>
      <c r="F91" s="59"/>
      <c r="G91" s="60"/>
      <c r="H91" s="29"/>
      <c r="I91" s="29"/>
      <c r="J91" s="61"/>
      <c r="K91" s="61"/>
      <c r="L91" s="61"/>
      <c r="M91" s="61"/>
      <c r="N91" s="61"/>
      <c r="O91" s="71"/>
      <c r="P91" s="61"/>
      <c r="Q91" s="58">
        <v>1</v>
      </c>
      <c r="R91" s="27"/>
      <c r="S91" s="63"/>
      <c r="T91" s="6"/>
      <c r="Y91" s="32"/>
      <c r="Z91" s="31"/>
    </row>
    <row r="92" spans="1:27" ht="15.5" x14ac:dyDescent="0.35">
      <c r="A92" s="5"/>
      <c r="B92" s="68" t="s">
        <v>150</v>
      </c>
      <c r="C92" s="58"/>
      <c r="D92" s="58"/>
      <c r="E92" s="58"/>
      <c r="F92" s="59"/>
      <c r="G92" s="60"/>
      <c r="H92" s="29"/>
      <c r="I92" s="29"/>
      <c r="J92" s="61"/>
      <c r="K92" s="61"/>
      <c r="L92" s="61"/>
      <c r="M92" s="61"/>
      <c r="N92" s="61"/>
      <c r="O92" s="71"/>
      <c r="P92" s="61"/>
      <c r="Q92" s="18">
        <v>1</v>
      </c>
      <c r="R92" s="27"/>
      <c r="S92" s="63"/>
      <c r="T92" s="6"/>
      <c r="Y92" s="32"/>
      <c r="Z92" s="31"/>
    </row>
    <row r="93" spans="1:27" ht="15.5" x14ac:dyDescent="0.35">
      <c r="A93" s="5"/>
      <c r="B93" s="68" t="s">
        <v>148</v>
      </c>
      <c r="C93" s="58"/>
      <c r="D93" s="58"/>
      <c r="E93" s="58"/>
      <c r="F93" s="59"/>
      <c r="G93" s="60"/>
      <c r="H93" s="29"/>
      <c r="I93" s="29"/>
      <c r="J93" s="61"/>
      <c r="K93" s="61"/>
      <c r="L93" s="61"/>
      <c r="M93" s="61"/>
      <c r="N93" s="61"/>
      <c r="O93" s="71"/>
      <c r="P93" s="61"/>
      <c r="Q93" s="18">
        <v>1</v>
      </c>
      <c r="R93" s="27"/>
      <c r="S93" s="63"/>
      <c r="T93" s="6"/>
      <c r="Y93" s="32"/>
      <c r="Z93" s="31"/>
    </row>
    <row r="94" spans="1:27" ht="15.5" x14ac:dyDescent="0.35">
      <c r="A94" s="5"/>
      <c r="B94" s="68" t="s">
        <v>149</v>
      </c>
      <c r="C94" s="58"/>
      <c r="D94" s="58"/>
      <c r="E94" s="58"/>
      <c r="F94" s="59"/>
      <c r="G94" s="60"/>
      <c r="H94" s="29"/>
      <c r="I94" s="29"/>
      <c r="J94" s="61"/>
      <c r="K94" s="61"/>
      <c r="L94" s="61"/>
      <c r="M94" s="61"/>
      <c r="N94" s="61"/>
      <c r="O94" s="71"/>
      <c r="P94" s="61"/>
      <c r="Q94" s="18">
        <v>1</v>
      </c>
      <c r="R94" s="27"/>
      <c r="S94" s="63"/>
      <c r="T94" s="6"/>
      <c r="Y94" s="32"/>
      <c r="Z94" s="31"/>
    </row>
    <row r="95" spans="1:27" ht="15.5" x14ac:dyDescent="0.35">
      <c r="A95" s="5"/>
      <c r="B95" s="69" t="s">
        <v>146</v>
      </c>
      <c r="C95" s="58"/>
      <c r="D95" s="58"/>
      <c r="E95" s="58"/>
      <c r="F95" s="59"/>
      <c r="G95" s="60"/>
      <c r="H95" s="29"/>
      <c r="I95" s="29"/>
      <c r="J95" s="61"/>
      <c r="K95" s="61"/>
      <c r="L95" s="61"/>
      <c r="M95" s="61"/>
      <c r="N95" s="61"/>
      <c r="O95" s="71"/>
      <c r="P95" s="61"/>
      <c r="Q95" s="58">
        <v>1</v>
      </c>
      <c r="R95" s="27"/>
      <c r="S95" s="63"/>
      <c r="T95" s="6"/>
      <c r="Y95" s="32"/>
      <c r="Z95" s="31"/>
    </row>
    <row r="96" spans="1:27" ht="15.5" x14ac:dyDescent="0.35">
      <c r="A96" s="5"/>
      <c r="B96" s="68" t="s">
        <v>152</v>
      </c>
      <c r="C96" s="58"/>
      <c r="D96" s="58"/>
      <c r="E96" s="58"/>
      <c r="F96" s="59"/>
      <c r="G96" s="60"/>
      <c r="H96" s="29"/>
      <c r="I96" s="29"/>
      <c r="J96" s="61"/>
      <c r="K96" s="61"/>
      <c r="L96" s="61"/>
      <c r="M96" s="61"/>
      <c r="N96" s="61"/>
      <c r="O96" s="71"/>
      <c r="P96" s="61"/>
      <c r="Q96" s="61"/>
      <c r="R96" s="18">
        <v>1</v>
      </c>
      <c r="S96" s="63"/>
      <c r="T96" s="6"/>
      <c r="Y96" s="32"/>
      <c r="Z96" s="31"/>
    </row>
    <row r="97" spans="1:26" ht="15.5" x14ac:dyDescent="0.35">
      <c r="A97" s="5"/>
      <c r="B97" s="68" t="s">
        <v>153</v>
      </c>
      <c r="C97" s="58"/>
      <c r="D97" s="58"/>
      <c r="E97" s="58"/>
      <c r="F97" s="59"/>
      <c r="G97" s="60"/>
      <c r="H97" s="29"/>
      <c r="I97" s="29"/>
      <c r="J97" s="61"/>
      <c r="K97" s="61"/>
      <c r="L97" s="61"/>
      <c r="M97" s="61"/>
      <c r="N97" s="61"/>
      <c r="O97" s="71"/>
      <c r="P97" s="61"/>
      <c r="Q97" s="61"/>
      <c r="R97" s="18">
        <v>1</v>
      </c>
      <c r="S97" s="63"/>
      <c r="T97" s="6"/>
      <c r="Y97" s="32"/>
      <c r="Z97" s="31"/>
    </row>
    <row r="98" spans="1:26" ht="16" thickBot="1" x14ac:dyDescent="0.4">
      <c r="A98" s="53"/>
      <c r="B98" s="54"/>
      <c r="C98" s="55"/>
      <c r="D98" s="55"/>
      <c r="E98" s="55"/>
      <c r="F98" s="55"/>
      <c r="G98" s="55"/>
      <c r="H98" s="29"/>
      <c r="I98" s="29"/>
      <c r="J98" s="56"/>
      <c r="K98" s="56"/>
      <c r="L98" s="56"/>
      <c r="M98" s="56"/>
      <c r="N98" s="56"/>
      <c r="O98" s="72"/>
      <c r="P98" s="61"/>
      <c r="Q98" s="55"/>
      <c r="R98" s="64"/>
      <c r="S98" s="63"/>
      <c r="T98" s="57" t="s">
        <v>126</v>
      </c>
      <c r="Z98" s="31"/>
    </row>
    <row r="99" spans="1:26" ht="15" thickBot="1" x14ac:dyDescent="0.4">
      <c r="A99" s="47"/>
      <c r="B99" s="48" t="s">
        <v>26</v>
      </c>
      <c r="C99" s="49"/>
      <c r="D99" s="49"/>
      <c r="E99" s="49"/>
      <c r="F99" s="49"/>
      <c r="G99" s="49"/>
      <c r="H99" s="49"/>
      <c r="I99" s="49"/>
      <c r="J99" s="49">
        <f>SUM(J2:J75)</f>
        <v>36</v>
      </c>
      <c r="K99" s="49">
        <f>SUM(K2:K75)</f>
        <v>21</v>
      </c>
      <c r="L99" s="49">
        <f>SUM(L2:L75)</f>
        <v>29</v>
      </c>
      <c r="M99" s="49">
        <f>SUM(M2:M98)</f>
        <v>39</v>
      </c>
      <c r="N99" s="49">
        <f>SUM(N2:N98)</f>
        <v>38</v>
      </c>
      <c r="O99" s="49"/>
      <c r="P99" s="49">
        <f>SUM(P2:P98)</f>
        <v>25</v>
      </c>
      <c r="Q99" s="49">
        <f>SUM(Q2:Q98)</f>
        <v>36</v>
      </c>
      <c r="R99" s="49">
        <f>SUM(R2:R98)</f>
        <v>30</v>
      </c>
      <c r="S99" s="65"/>
      <c r="T99" s="50">
        <f>AVERAGE(J99:Q99)</f>
        <v>32</v>
      </c>
    </row>
  </sheetData>
  <autoFilter ref="A1:Z97" xr:uid="{D4C5FFA3-8B87-43F6-BBAA-4D6E78132585}">
    <sortState xmlns:xlrd2="http://schemas.microsoft.com/office/spreadsheetml/2017/richdata2" ref="A2:Z79">
      <sortCondition ref="B1:B79"/>
    </sortState>
  </autoFilter>
  <sortState xmlns:xlrd2="http://schemas.microsoft.com/office/spreadsheetml/2017/richdata2" ref="J2:L9">
    <sortCondition sortBy="cellColor" ref="L1:L9"/>
  </sortState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7465-3A2A-49CD-A48E-C477A134D179}">
  <dimension ref="A1:AC111"/>
  <sheetViews>
    <sheetView zoomScale="60" zoomScaleNormal="60"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B95" sqref="B95"/>
    </sheetView>
  </sheetViews>
  <sheetFormatPr defaultRowHeight="14.5" x14ac:dyDescent="0.35"/>
  <cols>
    <col min="2" max="2" width="40.54296875" customWidth="1"/>
    <col min="3" max="11" width="3.6328125" customWidth="1"/>
    <col min="12" max="12" width="12.54296875" customWidth="1"/>
    <col min="16" max="16" width="3.81640625" customWidth="1"/>
    <col min="17" max="17" width="11.08984375" customWidth="1"/>
    <col min="18" max="18" width="16.453125" customWidth="1"/>
    <col min="19" max="19" width="14.7265625" customWidth="1"/>
  </cols>
  <sheetData>
    <row r="1" spans="1:18" ht="74.5" customHeight="1" x14ac:dyDescent="0.35">
      <c r="A1" s="14" t="s">
        <v>39</v>
      </c>
      <c r="B1" s="15" t="s">
        <v>27</v>
      </c>
      <c r="C1" s="45">
        <v>45347</v>
      </c>
      <c r="D1" s="45">
        <v>45375</v>
      </c>
      <c r="E1" s="46">
        <v>45410</v>
      </c>
      <c r="F1" s="46">
        <v>45438</v>
      </c>
      <c r="G1" s="46"/>
      <c r="H1" s="46"/>
      <c r="I1" s="46"/>
      <c r="J1" s="62"/>
      <c r="K1" s="62" t="s">
        <v>37</v>
      </c>
      <c r="L1" s="11" t="s">
        <v>38</v>
      </c>
      <c r="Q1" t="s">
        <v>65</v>
      </c>
      <c r="R1" t="s">
        <v>86</v>
      </c>
    </row>
    <row r="2" spans="1:18" ht="15.5" x14ac:dyDescent="0.35">
      <c r="A2" s="5">
        <v>1</v>
      </c>
      <c r="B2" s="2" t="s">
        <v>114</v>
      </c>
      <c r="C2" s="4"/>
      <c r="D2" s="4"/>
      <c r="E2" s="4"/>
      <c r="F2" s="1"/>
      <c r="G2" s="20"/>
      <c r="H2" s="20"/>
      <c r="I2" s="20"/>
      <c r="J2" s="20"/>
      <c r="K2" s="63"/>
      <c r="L2" s="6"/>
      <c r="R2" s="31" t="s">
        <v>115</v>
      </c>
    </row>
    <row r="3" spans="1:18" ht="15.5" x14ac:dyDescent="0.35">
      <c r="A3" s="5">
        <f t="shared" ref="A3:A65" si="0">A2+1</f>
        <v>2</v>
      </c>
      <c r="B3" s="2" t="s">
        <v>122</v>
      </c>
      <c r="C3" s="18">
        <v>1</v>
      </c>
      <c r="D3" s="18">
        <v>1</v>
      </c>
      <c r="E3" s="4"/>
      <c r="F3" s="18">
        <v>1</v>
      </c>
      <c r="G3" s="1"/>
      <c r="H3" s="20"/>
      <c r="I3" s="1"/>
      <c r="J3" s="20"/>
      <c r="K3" s="63"/>
      <c r="L3" s="6"/>
      <c r="Q3" s="26">
        <v>45164</v>
      </c>
      <c r="R3" s="31" t="s">
        <v>85</v>
      </c>
    </row>
    <row r="4" spans="1:18" ht="15.5" x14ac:dyDescent="0.35">
      <c r="A4" s="5">
        <f t="shared" si="0"/>
        <v>3</v>
      </c>
      <c r="B4" s="2" t="s">
        <v>123</v>
      </c>
      <c r="C4" s="4"/>
      <c r="D4" s="4"/>
      <c r="E4" s="4"/>
      <c r="F4" s="1"/>
      <c r="G4" s="20"/>
      <c r="H4" s="20"/>
      <c r="I4" s="20"/>
      <c r="J4" s="1"/>
      <c r="K4" s="63"/>
      <c r="L4" s="6"/>
    </row>
    <row r="5" spans="1:18" ht="15.5" x14ac:dyDescent="0.35">
      <c r="A5" s="5">
        <f t="shared" si="0"/>
        <v>4</v>
      </c>
      <c r="B5" s="2" t="s">
        <v>4</v>
      </c>
      <c r="C5" s="4"/>
      <c r="D5" s="4"/>
      <c r="E5" s="4"/>
      <c r="F5" s="1"/>
      <c r="G5" s="1"/>
      <c r="H5" s="20"/>
      <c r="I5" s="1"/>
      <c r="J5" s="20"/>
      <c r="K5" s="63"/>
      <c r="L5" s="6"/>
      <c r="Q5" s="26">
        <v>44982</v>
      </c>
    </row>
    <row r="6" spans="1:18" ht="15.5" x14ac:dyDescent="0.35">
      <c r="A6" s="5">
        <f t="shared" si="0"/>
        <v>5</v>
      </c>
      <c r="B6" s="2" t="s">
        <v>13</v>
      </c>
      <c r="C6" s="3">
        <v>1</v>
      </c>
      <c r="D6" s="3">
        <v>1</v>
      </c>
      <c r="E6" s="3">
        <v>1</v>
      </c>
      <c r="F6" s="3">
        <v>1</v>
      </c>
      <c r="G6" s="1"/>
      <c r="H6" s="1"/>
      <c r="I6" s="1"/>
      <c r="J6" s="1"/>
      <c r="K6" s="63"/>
      <c r="L6" s="6"/>
      <c r="Q6" s="26">
        <v>45178</v>
      </c>
    </row>
    <row r="7" spans="1:18" ht="15.5" x14ac:dyDescent="0.35">
      <c r="A7" s="5">
        <f t="shared" si="0"/>
        <v>6</v>
      </c>
      <c r="B7" s="2" t="s">
        <v>15</v>
      </c>
      <c r="C7" s="4"/>
      <c r="D7" s="4"/>
      <c r="E7" s="3">
        <v>1</v>
      </c>
      <c r="F7" s="3">
        <v>1</v>
      </c>
      <c r="G7" s="20"/>
      <c r="H7" s="20"/>
      <c r="I7" s="1"/>
      <c r="J7" s="20"/>
      <c r="K7" s="63"/>
      <c r="L7" s="6"/>
    </row>
    <row r="8" spans="1:18" ht="15.5" x14ac:dyDescent="0.35">
      <c r="A8" s="5">
        <f t="shared" si="0"/>
        <v>7</v>
      </c>
      <c r="B8" s="2" t="s">
        <v>5</v>
      </c>
      <c r="C8" s="4"/>
      <c r="D8" s="4"/>
      <c r="E8" s="4"/>
      <c r="F8" s="1"/>
      <c r="G8" s="20"/>
      <c r="H8" s="20"/>
      <c r="I8" s="1"/>
      <c r="J8" s="1"/>
      <c r="K8" s="63"/>
      <c r="L8" s="6"/>
      <c r="Q8" s="26">
        <v>45132</v>
      </c>
    </row>
    <row r="9" spans="1:18" ht="15.5" x14ac:dyDescent="0.35">
      <c r="A9" s="5">
        <f t="shared" si="0"/>
        <v>8</v>
      </c>
      <c r="B9" s="2" t="s">
        <v>88</v>
      </c>
      <c r="C9" s="4"/>
      <c r="D9" s="18">
        <v>1</v>
      </c>
      <c r="E9" s="4"/>
      <c r="F9" s="18">
        <v>1</v>
      </c>
      <c r="G9" s="1"/>
      <c r="H9" s="1"/>
      <c r="I9" s="1"/>
      <c r="J9" s="60"/>
      <c r="K9" s="63"/>
      <c r="L9" s="6"/>
      <c r="Q9" s="26">
        <v>45254</v>
      </c>
      <c r="R9" s="31" t="s">
        <v>74</v>
      </c>
    </row>
    <row r="10" spans="1:18" ht="15.5" x14ac:dyDescent="0.35">
      <c r="A10" s="5">
        <f t="shared" si="0"/>
        <v>9</v>
      </c>
      <c r="B10" s="51" t="s">
        <v>3</v>
      </c>
      <c r="C10" s="18">
        <v>1</v>
      </c>
      <c r="D10" s="3">
        <v>1</v>
      </c>
      <c r="E10" s="3">
        <v>1</v>
      </c>
      <c r="F10" s="1"/>
      <c r="G10" s="1"/>
      <c r="H10" s="1"/>
      <c r="I10" s="1"/>
      <c r="J10" s="20"/>
      <c r="K10" s="63"/>
      <c r="L10" s="6"/>
    </row>
    <row r="11" spans="1:18" ht="15.5" x14ac:dyDescent="0.35">
      <c r="A11" s="5">
        <f t="shared" si="0"/>
        <v>10</v>
      </c>
      <c r="B11" s="51" t="s">
        <v>14</v>
      </c>
      <c r="C11" s="4"/>
      <c r="D11" s="4"/>
      <c r="E11" s="3">
        <v>1</v>
      </c>
      <c r="F11" s="1"/>
      <c r="G11" s="20"/>
      <c r="H11" s="20"/>
      <c r="I11" s="1"/>
      <c r="J11" s="1"/>
      <c r="K11" s="63"/>
      <c r="L11" s="6"/>
      <c r="Q11" s="26">
        <v>45209</v>
      </c>
    </row>
    <row r="12" spans="1:18" ht="15.5" x14ac:dyDescent="0.35">
      <c r="A12" s="5">
        <f t="shared" si="0"/>
        <v>11</v>
      </c>
      <c r="B12" s="51" t="s">
        <v>49</v>
      </c>
      <c r="C12" s="4"/>
      <c r="D12" s="3">
        <v>1</v>
      </c>
      <c r="E12" s="4"/>
      <c r="F12" s="1"/>
      <c r="G12" s="20"/>
      <c r="H12" s="20"/>
      <c r="I12" s="1"/>
      <c r="J12" s="20"/>
      <c r="K12" s="63"/>
      <c r="L12" s="6"/>
    </row>
    <row r="13" spans="1:18" ht="15.5" x14ac:dyDescent="0.35">
      <c r="A13" s="5">
        <f t="shared" si="0"/>
        <v>12</v>
      </c>
      <c r="B13" s="51" t="s">
        <v>43</v>
      </c>
      <c r="C13" s="4"/>
      <c r="D13" s="4"/>
      <c r="E13" s="4"/>
      <c r="F13" s="1"/>
      <c r="G13" s="20"/>
      <c r="H13" s="20"/>
      <c r="I13" s="1"/>
      <c r="J13" s="20"/>
      <c r="K13" s="63"/>
      <c r="L13" s="6"/>
    </row>
    <row r="14" spans="1:18" ht="15.5" x14ac:dyDescent="0.35">
      <c r="A14" s="5">
        <f t="shared" si="0"/>
        <v>13</v>
      </c>
      <c r="B14" s="51" t="s">
        <v>55</v>
      </c>
      <c r="C14" s="18">
        <v>1</v>
      </c>
      <c r="D14" s="4"/>
      <c r="E14" s="4"/>
      <c r="F14" s="1"/>
      <c r="G14" s="1"/>
      <c r="H14" s="20"/>
      <c r="I14" s="1"/>
      <c r="J14" s="20"/>
      <c r="K14" s="63"/>
      <c r="L14" s="6"/>
    </row>
    <row r="15" spans="1:18" ht="15.5" x14ac:dyDescent="0.35">
      <c r="A15" s="5">
        <f t="shared" si="0"/>
        <v>14</v>
      </c>
      <c r="B15" s="51" t="s">
        <v>127</v>
      </c>
      <c r="C15" s="3">
        <v>1</v>
      </c>
      <c r="D15" s="37"/>
      <c r="E15" s="3">
        <v>1</v>
      </c>
      <c r="F15" s="18">
        <v>1</v>
      </c>
      <c r="G15" s="1"/>
      <c r="H15" s="20"/>
      <c r="I15" s="1"/>
      <c r="J15" s="20"/>
      <c r="K15" s="63"/>
      <c r="L15" s="6"/>
      <c r="Q15" s="26">
        <v>45078</v>
      </c>
      <c r="R15" s="31" t="s">
        <v>121</v>
      </c>
    </row>
    <row r="16" spans="1:18" ht="15.5" x14ac:dyDescent="0.35">
      <c r="A16" s="5">
        <f t="shared" si="0"/>
        <v>15</v>
      </c>
      <c r="B16" s="51" t="s">
        <v>124</v>
      </c>
      <c r="C16" s="4"/>
      <c r="D16" s="4"/>
      <c r="E16" s="4"/>
      <c r="F16" s="1"/>
      <c r="G16" s="20"/>
      <c r="H16" s="20"/>
      <c r="I16" s="1"/>
      <c r="J16" s="20"/>
      <c r="K16" s="63"/>
      <c r="L16" s="6"/>
      <c r="Q16" s="26"/>
      <c r="R16" s="31" t="s">
        <v>125</v>
      </c>
    </row>
    <row r="17" spans="1:20" ht="15.5" x14ac:dyDescent="0.35">
      <c r="A17" s="5">
        <f t="shared" si="0"/>
        <v>16</v>
      </c>
      <c r="B17" s="51" t="s">
        <v>138</v>
      </c>
      <c r="C17" s="3">
        <v>1</v>
      </c>
      <c r="D17" s="18">
        <v>1</v>
      </c>
      <c r="E17" s="3">
        <v>1</v>
      </c>
      <c r="F17" s="1"/>
      <c r="G17" s="1"/>
      <c r="H17" s="1"/>
      <c r="I17" s="1"/>
      <c r="J17" s="20"/>
      <c r="K17" s="63"/>
      <c r="L17" s="6"/>
      <c r="Q17" s="26">
        <v>45068</v>
      </c>
    </row>
    <row r="18" spans="1:20" ht="15.5" x14ac:dyDescent="0.35">
      <c r="A18" s="5">
        <f t="shared" si="0"/>
        <v>17</v>
      </c>
      <c r="B18" s="2" t="s">
        <v>97</v>
      </c>
      <c r="C18" s="3">
        <v>1</v>
      </c>
      <c r="D18" s="4"/>
      <c r="E18" s="4"/>
      <c r="F18" s="18">
        <v>1</v>
      </c>
      <c r="G18" s="20"/>
      <c r="H18" s="1"/>
      <c r="I18" s="1"/>
      <c r="J18" s="1"/>
      <c r="K18" s="63"/>
      <c r="L18" s="6"/>
      <c r="Q18" s="26">
        <v>44990</v>
      </c>
    </row>
    <row r="19" spans="1:20" ht="15.5" x14ac:dyDescent="0.35">
      <c r="A19" s="5">
        <f t="shared" si="0"/>
        <v>18</v>
      </c>
      <c r="B19" s="2" t="s">
        <v>58</v>
      </c>
      <c r="C19" s="37"/>
      <c r="D19" s="18">
        <v>1</v>
      </c>
      <c r="E19" s="3">
        <v>1</v>
      </c>
      <c r="F19" s="18">
        <v>1</v>
      </c>
      <c r="G19" s="1"/>
      <c r="H19" s="1"/>
      <c r="I19" s="1"/>
      <c r="J19" s="60"/>
      <c r="K19" s="63"/>
      <c r="L19" s="6"/>
      <c r="M19" s="35"/>
      <c r="N19">
        <f>68*9</f>
        <v>612</v>
      </c>
      <c r="Q19" s="26">
        <v>45073</v>
      </c>
    </row>
    <row r="20" spans="1:20" ht="15.5" x14ac:dyDescent="0.35">
      <c r="A20" s="5">
        <f t="shared" si="0"/>
        <v>19</v>
      </c>
      <c r="B20" s="2" t="s">
        <v>94</v>
      </c>
      <c r="C20" s="4"/>
      <c r="D20" s="18">
        <v>1</v>
      </c>
      <c r="E20" s="3">
        <v>1</v>
      </c>
      <c r="F20" s="1"/>
      <c r="G20" s="1"/>
      <c r="H20" s="20"/>
      <c r="I20" s="1"/>
      <c r="J20" s="1"/>
      <c r="K20" s="63"/>
      <c r="L20" s="6"/>
      <c r="S20" t="s">
        <v>95</v>
      </c>
      <c r="T20" s="12"/>
    </row>
    <row r="21" spans="1:20" ht="15.5" x14ac:dyDescent="0.35">
      <c r="A21" s="5">
        <f t="shared" si="0"/>
        <v>20</v>
      </c>
      <c r="B21" s="2" t="s">
        <v>31</v>
      </c>
      <c r="C21" s="4"/>
      <c r="D21" s="3">
        <v>1</v>
      </c>
      <c r="E21" s="3">
        <v>1</v>
      </c>
      <c r="F21" s="1"/>
      <c r="G21" s="1"/>
      <c r="H21" s="20"/>
      <c r="I21" s="1"/>
      <c r="J21" s="1"/>
      <c r="K21" s="63"/>
      <c r="L21" s="6"/>
      <c r="Q21" s="26">
        <v>45273</v>
      </c>
    </row>
    <row r="22" spans="1:20" ht="15.5" x14ac:dyDescent="0.35">
      <c r="A22" s="5">
        <f t="shared" si="0"/>
        <v>21</v>
      </c>
      <c r="B22" s="2" t="s">
        <v>24</v>
      </c>
      <c r="C22" s="18">
        <v>1</v>
      </c>
      <c r="D22" s="4"/>
      <c r="E22" s="3">
        <v>1</v>
      </c>
      <c r="F22" s="1"/>
      <c r="G22" s="20"/>
      <c r="H22" s="20"/>
      <c r="I22" s="1"/>
      <c r="J22" s="20"/>
      <c r="K22" s="63"/>
      <c r="L22" s="6"/>
    </row>
    <row r="23" spans="1:20" ht="15.5" x14ac:dyDescent="0.35">
      <c r="A23" s="5">
        <f t="shared" si="0"/>
        <v>22</v>
      </c>
      <c r="B23" s="2" t="s">
        <v>69</v>
      </c>
      <c r="C23" s="4"/>
      <c r="D23" s="4"/>
      <c r="E23" s="4"/>
      <c r="F23" s="1"/>
      <c r="G23" s="20"/>
      <c r="H23" s="20"/>
      <c r="I23" s="1"/>
      <c r="J23" s="20"/>
      <c r="K23" s="63"/>
      <c r="L23" s="6"/>
      <c r="Q23" s="26">
        <v>45132</v>
      </c>
      <c r="R23" s="31" t="s">
        <v>70</v>
      </c>
    </row>
    <row r="24" spans="1:20" ht="15.5" x14ac:dyDescent="0.35">
      <c r="A24" s="5">
        <f t="shared" si="0"/>
        <v>23</v>
      </c>
      <c r="B24" s="2" t="s">
        <v>117</v>
      </c>
      <c r="C24" s="4"/>
      <c r="D24" s="4"/>
      <c r="E24" s="3">
        <v>1</v>
      </c>
      <c r="F24" s="1"/>
      <c r="G24" s="20"/>
      <c r="H24" s="20"/>
      <c r="I24" s="1"/>
      <c r="J24" s="20"/>
      <c r="K24" s="63"/>
      <c r="L24" s="6"/>
      <c r="Q24" s="32"/>
      <c r="R24" s="33"/>
    </row>
    <row r="25" spans="1:20" ht="15.5" x14ac:dyDescent="0.35">
      <c r="A25" s="5">
        <f t="shared" si="0"/>
        <v>24</v>
      </c>
      <c r="B25" s="2" t="s">
        <v>57</v>
      </c>
      <c r="C25" s="3">
        <v>1</v>
      </c>
      <c r="D25" s="4"/>
      <c r="E25" s="3">
        <v>1</v>
      </c>
      <c r="F25" s="1"/>
      <c r="G25" s="1"/>
      <c r="H25" s="1"/>
      <c r="I25" s="1"/>
      <c r="J25" s="20"/>
      <c r="K25" s="63"/>
      <c r="L25" s="6"/>
      <c r="Q25" s="26">
        <v>44968</v>
      </c>
    </row>
    <row r="26" spans="1:20" ht="15.5" x14ac:dyDescent="0.35">
      <c r="A26" s="5">
        <f t="shared" si="0"/>
        <v>25</v>
      </c>
      <c r="B26" s="2" t="s">
        <v>17</v>
      </c>
      <c r="C26" s="4"/>
      <c r="D26" s="4"/>
      <c r="E26" s="4"/>
      <c r="F26" s="1"/>
      <c r="G26" s="20"/>
      <c r="H26" s="20"/>
      <c r="I26" s="1"/>
      <c r="J26" s="20"/>
      <c r="K26" s="63"/>
      <c r="L26" s="6"/>
    </row>
    <row r="27" spans="1:20" ht="15.5" x14ac:dyDescent="0.35">
      <c r="A27" s="5">
        <f t="shared" si="0"/>
        <v>26</v>
      </c>
      <c r="B27" s="2" t="s">
        <v>54</v>
      </c>
      <c r="C27" s="4"/>
      <c r="D27" s="4"/>
      <c r="E27" s="4"/>
      <c r="F27" s="1"/>
      <c r="G27" s="20"/>
      <c r="H27" s="20"/>
      <c r="I27" s="1"/>
      <c r="J27" s="20"/>
      <c r="K27" s="63"/>
      <c r="L27" s="6"/>
    </row>
    <row r="28" spans="1:20" ht="16" customHeight="1" x14ac:dyDescent="0.35">
      <c r="A28" s="5">
        <f t="shared" si="0"/>
        <v>27</v>
      </c>
      <c r="B28" s="2" t="s">
        <v>177</v>
      </c>
      <c r="C28" s="4"/>
      <c r="D28" s="4"/>
      <c r="E28" s="4"/>
      <c r="F28" s="1"/>
      <c r="G28" s="20"/>
      <c r="H28" s="20"/>
      <c r="I28" s="1"/>
      <c r="J28" s="20"/>
      <c r="K28" s="63"/>
      <c r="L28" s="6"/>
    </row>
    <row r="29" spans="1:20" ht="16" customHeight="1" x14ac:dyDescent="0.35">
      <c r="A29" s="5">
        <f t="shared" si="0"/>
        <v>28</v>
      </c>
      <c r="B29" s="2" t="s">
        <v>0</v>
      </c>
      <c r="C29" s="3">
        <v>1</v>
      </c>
      <c r="D29" s="3">
        <v>1</v>
      </c>
      <c r="E29" s="3">
        <v>1</v>
      </c>
      <c r="F29" s="3">
        <v>1</v>
      </c>
      <c r="G29" s="1"/>
      <c r="H29" s="1"/>
      <c r="I29" s="1"/>
      <c r="J29" s="60"/>
      <c r="K29" s="63"/>
      <c r="L29" s="6"/>
      <c r="Q29" s="26">
        <v>45044</v>
      </c>
    </row>
    <row r="30" spans="1:20" ht="15.5" customHeight="1" x14ac:dyDescent="0.35">
      <c r="A30" s="5">
        <f t="shared" si="0"/>
        <v>29</v>
      </c>
      <c r="B30" s="2" t="s">
        <v>71</v>
      </c>
      <c r="C30" s="3">
        <v>1</v>
      </c>
      <c r="D30" s="37"/>
      <c r="E30" s="3">
        <v>1</v>
      </c>
      <c r="F30" s="1"/>
      <c r="G30" s="20"/>
      <c r="H30" s="20"/>
      <c r="I30" s="1"/>
      <c r="J30" s="20"/>
      <c r="K30" s="63"/>
      <c r="L30" s="6"/>
    </row>
    <row r="31" spans="1:20" ht="15.5" customHeight="1" x14ac:dyDescent="0.35">
      <c r="A31" s="5">
        <f t="shared" si="0"/>
        <v>30</v>
      </c>
      <c r="B31" s="2" t="s">
        <v>68</v>
      </c>
      <c r="C31" s="4"/>
      <c r="D31" s="3">
        <v>1</v>
      </c>
      <c r="E31" s="3">
        <v>1</v>
      </c>
      <c r="F31" s="1"/>
      <c r="G31" s="20"/>
      <c r="H31" s="20"/>
      <c r="I31" s="1"/>
      <c r="J31" s="20"/>
      <c r="K31" s="63"/>
      <c r="L31" s="6"/>
    </row>
    <row r="32" spans="1:20" ht="15.5" x14ac:dyDescent="0.35">
      <c r="A32" s="5">
        <f t="shared" si="0"/>
        <v>31</v>
      </c>
      <c r="B32" s="2" t="s">
        <v>34</v>
      </c>
      <c r="C32" s="4"/>
      <c r="D32" s="4"/>
      <c r="E32" s="4"/>
      <c r="F32" s="1"/>
      <c r="G32" s="20"/>
      <c r="H32" s="20"/>
      <c r="I32" s="1"/>
      <c r="J32" s="20"/>
      <c r="K32" s="63"/>
      <c r="L32" s="6"/>
      <c r="Q32" s="26">
        <v>45023</v>
      </c>
    </row>
    <row r="33" spans="1:29" ht="15.5" customHeight="1" x14ac:dyDescent="0.35">
      <c r="A33" s="5">
        <f t="shared" si="0"/>
        <v>32</v>
      </c>
      <c r="B33" s="2" t="s">
        <v>2</v>
      </c>
      <c r="C33" s="3">
        <v>1</v>
      </c>
      <c r="D33" s="3">
        <v>1</v>
      </c>
      <c r="E33" s="3">
        <v>1</v>
      </c>
      <c r="F33" s="3">
        <v>1</v>
      </c>
      <c r="G33" s="20"/>
      <c r="H33" s="1"/>
      <c r="I33" s="1"/>
      <c r="J33" s="60"/>
      <c r="K33" s="63"/>
      <c r="L33" s="6"/>
      <c r="Q33" s="26">
        <v>45269</v>
      </c>
    </row>
    <row r="34" spans="1:29" ht="15.5" customHeight="1" x14ac:dyDescent="0.35">
      <c r="A34" s="5">
        <f t="shared" si="0"/>
        <v>33</v>
      </c>
      <c r="B34" s="2" t="s">
        <v>118</v>
      </c>
      <c r="C34" s="3">
        <v>1</v>
      </c>
      <c r="D34" s="4"/>
      <c r="E34" s="3">
        <v>1</v>
      </c>
      <c r="F34" s="20"/>
      <c r="G34" s="1"/>
      <c r="H34" s="1"/>
      <c r="I34" s="1"/>
      <c r="J34" s="60"/>
      <c r="K34" s="63"/>
      <c r="L34" s="6"/>
      <c r="Q34" s="32"/>
      <c r="R34" s="33"/>
    </row>
    <row r="35" spans="1:29" ht="15.5" x14ac:dyDescent="0.35">
      <c r="A35" s="5">
        <f t="shared" si="0"/>
        <v>34</v>
      </c>
      <c r="B35" s="2" t="s">
        <v>72</v>
      </c>
      <c r="C35" s="4"/>
      <c r="D35" s="4"/>
      <c r="E35" s="3">
        <v>1</v>
      </c>
      <c r="F35" s="1"/>
      <c r="G35" s="1"/>
      <c r="H35" s="20"/>
      <c r="I35" s="1"/>
      <c r="J35" s="20"/>
      <c r="K35" s="63"/>
      <c r="L35" s="6"/>
      <c r="R35" s="31" t="s">
        <v>73</v>
      </c>
    </row>
    <row r="36" spans="1:29" ht="15.5" customHeight="1" x14ac:dyDescent="0.35">
      <c r="A36" s="5">
        <f t="shared" si="0"/>
        <v>35</v>
      </c>
      <c r="B36" s="2" t="s">
        <v>20</v>
      </c>
      <c r="C36" s="4"/>
      <c r="D36" s="3">
        <v>1</v>
      </c>
      <c r="E36" s="4"/>
      <c r="F36" s="3">
        <v>1</v>
      </c>
      <c r="G36" s="1"/>
      <c r="H36" s="20"/>
      <c r="I36" s="1"/>
      <c r="J36" s="20"/>
      <c r="K36" s="63"/>
      <c r="L36" s="6"/>
      <c r="Q36" s="26">
        <v>45158</v>
      </c>
      <c r="AC36">
        <v>1</v>
      </c>
    </row>
    <row r="37" spans="1:29" ht="15.5" customHeight="1" x14ac:dyDescent="0.35">
      <c r="A37" s="5">
        <f t="shared" si="0"/>
        <v>36</v>
      </c>
      <c r="B37" s="2" t="s">
        <v>32</v>
      </c>
      <c r="C37" s="4"/>
      <c r="D37" s="4"/>
      <c r="E37" s="4"/>
      <c r="F37" s="1"/>
      <c r="G37" s="1"/>
      <c r="H37" s="20"/>
      <c r="I37" s="1"/>
      <c r="J37" s="20"/>
      <c r="K37" s="63"/>
      <c r="L37" s="6"/>
      <c r="Q37" s="26">
        <v>45061</v>
      </c>
    </row>
    <row r="38" spans="1:29" ht="15.5" customHeight="1" x14ac:dyDescent="0.35">
      <c r="A38" s="5">
        <f t="shared" si="0"/>
        <v>37</v>
      </c>
      <c r="B38" s="2" t="s">
        <v>21</v>
      </c>
      <c r="C38" s="3">
        <v>1</v>
      </c>
      <c r="D38" s="18">
        <v>1</v>
      </c>
      <c r="E38" s="3">
        <v>1</v>
      </c>
      <c r="F38" s="1"/>
      <c r="G38" s="1"/>
      <c r="H38" s="20"/>
      <c r="I38" s="1"/>
      <c r="J38" s="60"/>
      <c r="K38" s="63"/>
      <c r="L38" s="6"/>
    </row>
    <row r="39" spans="1:29" ht="15.5" customHeight="1" x14ac:dyDescent="0.35">
      <c r="A39" s="5">
        <f t="shared" si="0"/>
        <v>38</v>
      </c>
      <c r="B39" s="2" t="s">
        <v>51</v>
      </c>
      <c r="C39" s="4"/>
      <c r="D39" s="4"/>
      <c r="E39" s="3">
        <v>1</v>
      </c>
      <c r="F39" s="1"/>
      <c r="G39" s="20"/>
      <c r="H39" s="20"/>
      <c r="I39" s="1"/>
      <c r="J39" s="1"/>
      <c r="K39" s="63"/>
      <c r="L39" s="6"/>
      <c r="Q39" s="26">
        <v>45005</v>
      </c>
    </row>
    <row r="40" spans="1:29" ht="15.5" customHeight="1" x14ac:dyDescent="0.35">
      <c r="A40" s="5">
        <f t="shared" si="0"/>
        <v>39</v>
      </c>
      <c r="B40" s="2" t="s">
        <v>56</v>
      </c>
      <c r="C40" s="18">
        <v>1</v>
      </c>
      <c r="D40" s="18">
        <v>1</v>
      </c>
      <c r="E40" s="4"/>
      <c r="F40" s="1"/>
      <c r="G40" s="20"/>
      <c r="H40" s="20"/>
      <c r="I40" s="1"/>
      <c r="J40" s="20"/>
      <c r="K40" s="63"/>
      <c r="L40" s="6"/>
    </row>
    <row r="41" spans="1:29" ht="15.5" customHeight="1" x14ac:dyDescent="0.35">
      <c r="A41" s="5">
        <f t="shared" si="0"/>
        <v>40</v>
      </c>
      <c r="B41" s="2" t="s">
        <v>36</v>
      </c>
      <c r="C41" s="4"/>
      <c r="D41" s="3">
        <v>1</v>
      </c>
      <c r="E41" s="4"/>
      <c r="F41" s="1"/>
      <c r="G41" s="20"/>
      <c r="H41" s="20"/>
      <c r="I41" s="1"/>
      <c r="J41" s="20"/>
      <c r="K41" s="63"/>
      <c r="L41" s="6"/>
      <c r="Q41" s="26">
        <v>45011</v>
      </c>
    </row>
    <row r="42" spans="1:29" ht="15.5" customHeight="1" x14ac:dyDescent="0.35">
      <c r="A42" s="5">
        <f t="shared" si="0"/>
        <v>41</v>
      </c>
      <c r="B42" s="2" t="s">
        <v>75</v>
      </c>
      <c r="C42" s="4"/>
      <c r="D42" s="3">
        <v>1</v>
      </c>
      <c r="E42" s="4"/>
      <c r="F42" s="3">
        <v>1</v>
      </c>
      <c r="G42" s="20"/>
      <c r="H42" s="20"/>
      <c r="I42" s="1"/>
      <c r="J42" s="60"/>
      <c r="K42" s="63"/>
      <c r="L42" s="6"/>
      <c r="R42" s="31" t="s">
        <v>89</v>
      </c>
    </row>
    <row r="43" spans="1:29" ht="15.5" customHeight="1" x14ac:dyDescent="0.35">
      <c r="A43" s="5">
        <f t="shared" si="0"/>
        <v>42</v>
      </c>
      <c r="B43" s="2" t="s">
        <v>18</v>
      </c>
      <c r="C43" s="4"/>
      <c r="D43" s="4"/>
      <c r="E43" s="3">
        <v>1</v>
      </c>
      <c r="F43" s="18">
        <v>1</v>
      </c>
      <c r="G43" s="20"/>
      <c r="H43" s="1"/>
      <c r="I43" s="1"/>
      <c r="J43" s="60"/>
      <c r="K43" s="63"/>
      <c r="L43" s="6"/>
    </row>
    <row r="44" spans="1:29" ht="15.5" customHeight="1" x14ac:dyDescent="0.35">
      <c r="A44" s="5">
        <f t="shared" si="0"/>
        <v>43</v>
      </c>
      <c r="B44" s="2" t="s">
        <v>178</v>
      </c>
      <c r="C44" s="4"/>
      <c r="D44" s="4"/>
      <c r="E44" s="3">
        <v>1</v>
      </c>
      <c r="F44" s="1"/>
      <c r="G44" s="20"/>
      <c r="H44" s="20"/>
      <c r="I44" s="1"/>
      <c r="J44" s="1"/>
      <c r="K44" s="63"/>
      <c r="L44" s="6"/>
      <c r="Q44" s="26">
        <v>45274</v>
      </c>
    </row>
    <row r="45" spans="1:29" ht="15.5" customHeight="1" x14ac:dyDescent="0.35">
      <c r="A45" s="5">
        <f t="shared" si="0"/>
        <v>44</v>
      </c>
      <c r="B45" s="2" t="s">
        <v>119</v>
      </c>
      <c r="C45" s="4"/>
      <c r="D45" s="4"/>
      <c r="E45" s="4"/>
      <c r="F45" s="1"/>
      <c r="G45" s="20"/>
      <c r="H45" s="20"/>
      <c r="I45" s="1"/>
      <c r="J45" s="20"/>
      <c r="K45" s="63"/>
      <c r="L45" s="6"/>
      <c r="Q45" s="32"/>
      <c r="R45" s="33"/>
    </row>
    <row r="46" spans="1:29" ht="15.5" x14ac:dyDescent="0.35">
      <c r="A46" s="5">
        <f t="shared" si="0"/>
        <v>45</v>
      </c>
      <c r="B46" s="2" t="s">
        <v>6</v>
      </c>
      <c r="C46" s="3">
        <v>1</v>
      </c>
      <c r="D46" s="18">
        <v>1</v>
      </c>
      <c r="E46" s="3">
        <v>1</v>
      </c>
      <c r="F46" s="3">
        <v>1</v>
      </c>
      <c r="G46" s="1"/>
      <c r="H46" s="1"/>
      <c r="I46" s="1"/>
      <c r="J46" s="60"/>
      <c r="K46" s="63"/>
      <c r="L46" s="6"/>
      <c r="Q46" s="26">
        <v>45181</v>
      </c>
    </row>
    <row r="47" spans="1:29" ht="15.5" customHeight="1" x14ac:dyDescent="0.35">
      <c r="A47" s="5">
        <f t="shared" si="0"/>
        <v>46</v>
      </c>
      <c r="B47" s="2" t="s">
        <v>176</v>
      </c>
      <c r="C47" s="3">
        <v>1</v>
      </c>
      <c r="D47" s="3">
        <v>1</v>
      </c>
      <c r="E47" s="3">
        <v>1</v>
      </c>
      <c r="F47" s="3">
        <v>1</v>
      </c>
      <c r="G47" s="1"/>
      <c r="H47" s="1"/>
      <c r="I47" s="1"/>
      <c r="J47" s="60"/>
      <c r="K47" s="63"/>
      <c r="L47" s="6"/>
      <c r="Q47" s="26">
        <v>45261</v>
      </c>
    </row>
    <row r="48" spans="1:29" ht="15.5" customHeight="1" x14ac:dyDescent="0.35">
      <c r="A48" s="5">
        <f t="shared" si="0"/>
        <v>47</v>
      </c>
      <c r="B48" s="2" t="s">
        <v>22</v>
      </c>
      <c r="C48" s="18">
        <v>1</v>
      </c>
      <c r="D48" s="18">
        <v>1</v>
      </c>
      <c r="E48" s="3">
        <v>1</v>
      </c>
      <c r="F48" s="18">
        <v>1</v>
      </c>
      <c r="G48" s="1"/>
      <c r="H48" s="20"/>
      <c r="I48" s="1"/>
      <c r="J48" s="20"/>
      <c r="K48" s="63"/>
      <c r="L48" s="6"/>
      <c r="Q48" s="26">
        <v>45182</v>
      </c>
    </row>
    <row r="49" spans="1:18" ht="15.5" x14ac:dyDescent="0.35">
      <c r="A49" s="5">
        <f t="shared" si="0"/>
        <v>48</v>
      </c>
      <c r="B49" s="2" t="s">
        <v>47</v>
      </c>
      <c r="C49" s="4"/>
      <c r="D49" s="4"/>
      <c r="E49" s="4"/>
      <c r="F49" s="1"/>
      <c r="G49" s="1"/>
      <c r="H49" s="20"/>
      <c r="I49" s="1"/>
      <c r="J49" s="20"/>
      <c r="K49" s="63"/>
      <c r="L49" s="6"/>
    </row>
    <row r="50" spans="1:18" ht="15.5" customHeight="1" x14ac:dyDescent="0.35">
      <c r="A50" s="5">
        <f t="shared" si="0"/>
        <v>49</v>
      </c>
      <c r="B50" s="2" t="s">
        <v>90</v>
      </c>
      <c r="C50" s="4"/>
      <c r="D50" s="4"/>
      <c r="E50" s="4"/>
      <c r="F50" s="1"/>
      <c r="G50" s="20"/>
      <c r="H50" s="20"/>
      <c r="I50" s="1"/>
      <c r="J50" s="20"/>
      <c r="K50" s="63"/>
      <c r="L50" s="6"/>
      <c r="Q50" s="26">
        <v>45261</v>
      </c>
    </row>
    <row r="51" spans="1:18" ht="15.5" customHeight="1" x14ac:dyDescent="0.35">
      <c r="A51" s="5">
        <f t="shared" si="0"/>
        <v>50</v>
      </c>
      <c r="B51" s="2" t="s">
        <v>40</v>
      </c>
      <c r="C51" s="4"/>
      <c r="D51" s="18">
        <v>1</v>
      </c>
      <c r="E51" s="3">
        <v>1</v>
      </c>
      <c r="F51" s="18">
        <v>1</v>
      </c>
      <c r="G51" s="1"/>
      <c r="H51" s="1"/>
      <c r="I51" s="1"/>
      <c r="J51" s="20"/>
      <c r="K51" s="63"/>
      <c r="L51" s="6"/>
    </row>
    <row r="52" spans="1:18" ht="15.5" customHeight="1" x14ac:dyDescent="0.35">
      <c r="A52" s="5">
        <f t="shared" si="0"/>
        <v>51</v>
      </c>
      <c r="B52" s="2" t="s">
        <v>98</v>
      </c>
      <c r="C52" s="4"/>
      <c r="D52" s="18">
        <v>1</v>
      </c>
      <c r="E52" s="3">
        <v>1</v>
      </c>
      <c r="F52" s="18">
        <v>1</v>
      </c>
      <c r="G52" s="20"/>
      <c r="H52" s="1"/>
      <c r="I52" s="1"/>
      <c r="J52" s="20"/>
      <c r="K52" s="63"/>
      <c r="L52" s="6"/>
      <c r="Q52" s="26">
        <v>45114</v>
      </c>
    </row>
    <row r="53" spans="1:18" ht="15.5" customHeight="1" x14ac:dyDescent="0.35">
      <c r="A53" s="5">
        <f t="shared" si="0"/>
        <v>52</v>
      </c>
      <c r="B53" s="52" t="s">
        <v>66</v>
      </c>
      <c r="C53" s="27"/>
      <c r="D53" s="4"/>
      <c r="E53" s="27"/>
      <c r="F53" s="20"/>
      <c r="G53" s="20"/>
      <c r="H53" s="20"/>
      <c r="I53" s="20"/>
      <c r="J53" s="60"/>
      <c r="K53" s="63"/>
      <c r="L53" s="21"/>
    </row>
    <row r="54" spans="1:18" ht="15.5" customHeight="1" x14ac:dyDescent="0.35">
      <c r="A54" s="5">
        <f t="shared" si="0"/>
        <v>53</v>
      </c>
      <c r="B54" s="52" t="s">
        <v>33</v>
      </c>
      <c r="C54" s="3">
        <v>1</v>
      </c>
      <c r="D54" s="3">
        <v>1</v>
      </c>
      <c r="E54" s="23">
        <v>1</v>
      </c>
      <c r="F54" s="23">
        <v>1</v>
      </c>
      <c r="G54" s="20"/>
      <c r="H54" s="1"/>
      <c r="I54" s="1"/>
      <c r="J54" s="1"/>
      <c r="K54" s="63"/>
      <c r="L54" s="21"/>
    </row>
    <row r="55" spans="1:18" ht="15.5" customHeight="1" x14ac:dyDescent="0.35">
      <c r="A55" s="5">
        <f t="shared" si="0"/>
        <v>54</v>
      </c>
      <c r="B55" s="52" t="s">
        <v>142</v>
      </c>
      <c r="C55" s="18">
        <v>1</v>
      </c>
      <c r="D55" s="4"/>
      <c r="E55" s="3">
        <v>1</v>
      </c>
      <c r="F55" s="1"/>
      <c r="G55" s="1"/>
      <c r="H55" s="1"/>
      <c r="I55" s="20"/>
      <c r="J55" s="20"/>
      <c r="K55" s="63"/>
      <c r="L55" s="21"/>
      <c r="R55" s="31"/>
    </row>
    <row r="56" spans="1:18" ht="15.5" customHeight="1" x14ac:dyDescent="0.35">
      <c r="A56" s="5">
        <f t="shared" si="0"/>
        <v>55</v>
      </c>
      <c r="B56" s="52" t="s">
        <v>168</v>
      </c>
      <c r="C56" s="18">
        <v>1</v>
      </c>
      <c r="D56" s="18">
        <v>1</v>
      </c>
      <c r="E56" s="4"/>
      <c r="F56" s="20"/>
      <c r="G56" s="20"/>
      <c r="H56" s="20"/>
      <c r="I56" s="1"/>
      <c r="J56" s="20"/>
      <c r="K56" s="63"/>
      <c r="L56" s="21"/>
      <c r="Q56" s="26">
        <v>45272</v>
      </c>
    </row>
    <row r="57" spans="1:18" ht="15.5" x14ac:dyDescent="0.35">
      <c r="A57" s="5">
        <f t="shared" si="0"/>
        <v>56</v>
      </c>
      <c r="B57" s="52" t="s">
        <v>44</v>
      </c>
      <c r="C57" s="27"/>
      <c r="D57" s="4"/>
      <c r="E57" s="3">
        <v>1</v>
      </c>
      <c r="F57" s="1"/>
      <c r="G57" s="1"/>
      <c r="H57" s="1"/>
      <c r="I57" s="20"/>
      <c r="J57" s="20"/>
      <c r="K57" s="63"/>
      <c r="L57" s="21"/>
    </row>
    <row r="58" spans="1:18" ht="15.5" customHeight="1" x14ac:dyDescent="0.35">
      <c r="A58" s="5">
        <f t="shared" si="0"/>
        <v>57</v>
      </c>
      <c r="B58" s="22" t="s">
        <v>129</v>
      </c>
      <c r="C58" s="27"/>
      <c r="D58" s="4"/>
      <c r="E58" s="27"/>
      <c r="F58" s="1"/>
      <c r="G58" s="1"/>
      <c r="H58" s="20"/>
      <c r="I58" s="1"/>
      <c r="J58" s="20"/>
      <c r="K58" s="63"/>
      <c r="L58" s="21"/>
    </row>
    <row r="59" spans="1:18" ht="16" customHeight="1" x14ac:dyDescent="0.35">
      <c r="A59" s="5">
        <f t="shared" si="0"/>
        <v>58</v>
      </c>
      <c r="B59" s="22" t="s">
        <v>166</v>
      </c>
      <c r="C59" s="27"/>
      <c r="D59" s="3">
        <v>1</v>
      </c>
      <c r="E59" s="3">
        <v>1</v>
      </c>
      <c r="F59" s="23">
        <v>1</v>
      </c>
      <c r="G59" s="1"/>
      <c r="H59" s="20"/>
      <c r="I59" s="20"/>
      <c r="J59" s="1"/>
      <c r="K59" s="63"/>
      <c r="L59" s="21"/>
      <c r="Q59" s="32"/>
      <c r="R59" s="33" t="s">
        <v>92</v>
      </c>
    </row>
    <row r="60" spans="1:18" ht="15.5" x14ac:dyDescent="0.35">
      <c r="A60" s="5">
        <f t="shared" si="0"/>
        <v>59</v>
      </c>
      <c r="B60" s="22" t="s">
        <v>77</v>
      </c>
      <c r="C60" s="27"/>
      <c r="D60" s="4"/>
      <c r="E60" s="27"/>
      <c r="F60" s="20"/>
      <c r="G60" s="20"/>
      <c r="H60" s="20"/>
      <c r="I60" s="20"/>
      <c r="J60" s="20"/>
      <c r="K60" s="63"/>
      <c r="L60" s="21"/>
      <c r="Q60" s="26">
        <v>44951</v>
      </c>
      <c r="R60" s="31" t="s">
        <v>78</v>
      </c>
    </row>
    <row r="61" spans="1:18" ht="15.5" x14ac:dyDescent="0.35">
      <c r="A61" s="5">
        <f t="shared" si="0"/>
        <v>60</v>
      </c>
      <c r="B61" s="22" t="s">
        <v>116</v>
      </c>
      <c r="C61" s="27"/>
      <c r="D61" s="4"/>
      <c r="E61" s="4"/>
      <c r="F61" s="1"/>
      <c r="G61" s="20"/>
      <c r="H61" s="20"/>
      <c r="I61" s="1"/>
      <c r="J61" s="20"/>
      <c r="K61" s="63"/>
      <c r="L61" s="21"/>
    </row>
    <row r="62" spans="1:18" ht="15.5" x14ac:dyDescent="0.35">
      <c r="A62" s="5">
        <f t="shared" si="0"/>
        <v>61</v>
      </c>
      <c r="B62" s="22" t="s">
        <v>8</v>
      </c>
      <c r="C62" s="27"/>
      <c r="D62" s="18">
        <v>1</v>
      </c>
      <c r="E62" s="3">
        <v>1</v>
      </c>
      <c r="F62" s="1"/>
      <c r="G62" s="1"/>
      <c r="H62" s="20"/>
      <c r="I62" s="20"/>
      <c r="J62" s="20"/>
      <c r="K62" s="63"/>
      <c r="L62" s="21"/>
      <c r="Q62" s="26">
        <v>44978</v>
      </c>
    </row>
    <row r="63" spans="1:18" ht="15.5" x14ac:dyDescent="0.35">
      <c r="A63" s="5">
        <f t="shared" si="0"/>
        <v>62</v>
      </c>
      <c r="B63" s="22" t="s">
        <v>96</v>
      </c>
      <c r="C63" s="27"/>
      <c r="D63" s="4"/>
      <c r="E63" s="27"/>
      <c r="F63" s="1"/>
      <c r="G63" s="20"/>
      <c r="H63" s="20"/>
      <c r="I63" s="20"/>
      <c r="J63" s="20"/>
      <c r="K63" s="63"/>
      <c r="L63" s="21"/>
      <c r="Q63" s="32"/>
      <c r="R63" s="33" t="s">
        <v>93</v>
      </c>
    </row>
    <row r="64" spans="1:18" ht="15.5" x14ac:dyDescent="0.35">
      <c r="A64" s="5">
        <f t="shared" si="0"/>
        <v>63</v>
      </c>
      <c r="B64" s="22" t="s">
        <v>9</v>
      </c>
      <c r="C64" s="27"/>
      <c r="D64" s="18">
        <v>1</v>
      </c>
      <c r="E64" s="3">
        <v>1</v>
      </c>
      <c r="F64" s="1"/>
      <c r="G64" s="20"/>
      <c r="H64" s="20"/>
      <c r="I64" s="20"/>
      <c r="J64" s="20"/>
      <c r="K64" s="63"/>
      <c r="L64" s="21"/>
      <c r="Q64" s="26">
        <v>44968</v>
      </c>
    </row>
    <row r="65" spans="1:19" ht="15.5" x14ac:dyDescent="0.35">
      <c r="A65" s="5">
        <f t="shared" si="0"/>
        <v>64</v>
      </c>
      <c r="B65" s="22" t="s">
        <v>42</v>
      </c>
      <c r="C65" s="27"/>
      <c r="D65" s="4"/>
      <c r="E65" s="3">
        <v>1</v>
      </c>
      <c r="F65" s="18">
        <v>1</v>
      </c>
      <c r="G65" s="1"/>
      <c r="H65" s="1"/>
      <c r="I65" s="1"/>
      <c r="J65" s="20"/>
      <c r="K65" s="63"/>
      <c r="L65" s="21"/>
      <c r="Q65" s="26">
        <v>44930</v>
      </c>
    </row>
    <row r="66" spans="1:19" ht="15.5" x14ac:dyDescent="0.35">
      <c r="A66" s="5">
        <f t="shared" ref="A66:A78" si="1">A65+1</f>
        <v>65</v>
      </c>
      <c r="B66" s="22" t="s">
        <v>23</v>
      </c>
      <c r="C66" s="27"/>
      <c r="D66" s="18">
        <v>1</v>
      </c>
      <c r="E66" s="3">
        <v>1</v>
      </c>
      <c r="F66" s="18">
        <v>1</v>
      </c>
      <c r="G66" s="20"/>
      <c r="H66" s="1"/>
      <c r="I66" s="20"/>
      <c r="J66" s="1"/>
      <c r="K66" s="63"/>
      <c r="L66" s="21"/>
      <c r="Q66" s="26">
        <v>45144</v>
      </c>
    </row>
    <row r="67" spans="1:19" ht="15.5" x14ac:dyDescent="0.35">
      <c r="A67" s="5">
        <f t="shared" si="1"/>
        <v>66</v>
      </c>
      <c r="B67" s="22" t="s">
        <v>35</v>
      </c>
      <c r="C67" s="27"/>
      <c r="D67" s="4"/>
      <c r="E67" s="27"/>
      <c r="F67" s="20"/>
      <c r="G67" s="20"/>
      <c r="H67" s="20"/>
      <c r="I67" s="20"/>
      <c r="J67" s="20"/>
      <c r="K67" s="63"/>
      <c r="L67" s="21"/>
      <c r="Q67" s="26">
        <v>45209</v>
      </c>
      <c r="R67" s="31" t="s">
        <v>70</v>
      </c>
      <c r="S67" t="s">
        <v>95</v>
      </c>
    </row>
    <row r="68" spans="1:19" ht="15.5" x14ac:dyDescent="0.35">
      <c r="A68" s="5">
        <f t="shared" si="1"/>
        <v>67</v>
      </c>
      <c r="B68" s="22" t="s">
        <v>50</v>
      </c>
      <c r="C68" s="27"/>
      <c r="D68" s="4"/>
      <c r="E68" s="27"/>
      <c r="F68" s="20"/>
      <c r="G68" s="20"/>
      <c r="H68" s="20"/>
      <c r="I68" s="20"/>
      <c r="J68" s="20"/>
      <c r="K68" s="63"/>
      <c r="L68" s="21"/>
      <c r="Q68" s="26">
        <v>45233</v>
      </c>
    </row>
    <row r="69" spans="1:19" ht="15.5" x14ac:dyDescent="0.35">
      <c r="A69" s="5">
        <f t="shared" si="1"/>
        <v>68</v>
      </c>
      <c r="B69" s="22" t="s">
        <v>48</v>
      </c>
      <c r="C69" s="3">
        <v>1</v>
      </c>
      <c r="D69" s="4"/>
      <c r="E69" s="3">
        <v>1</v>
      </c>
      <c r="F69" s="3">
        <v>1</v>
      </c>
      <c r="G69" s="20"/>
      <c r="H69" s="20"/>
      <c r="I69" s="20"/>
      <c r="J69" s="20"/>
      <c r="K69" s="63"/>
      <c r="L69" s="21"/>
      <c r="Q69" s="26">
        <v>45233</v>
      </c>
      <c r="R69" s="31" t="s">
        <v>73</v>
      </c>
    </row>
    <row r="70" spans="1:19" ht="15.5" x14ac:dyDescent="0.35">
      <c r="A70" s="5">
        <f t="shared" si="1"/>
        <v>69</v>
      </c>
      <c r="B70" s="22" t="s">
        <v>41</v>
      </c>
      <c r="C70" s="27"/>
      <c r="D70" s="18">
        <v>1</v>
      </c>
      <c r="E70" s="4"/>
      <c r="F70" s="20"/>
      <c r="G70" s="1"/>
      <c r="H70" s="1"/>
      <c r="I70" s="1"/>
      <c r="J70" s="20"/>
      <c r="K70" s="63"/>
      <c r="L70" s="21"/>
      <c r="Q70" s="26"/>
      <c r="R70" s="31" t="s">
        <v>74</v>
      </c>
    </row>
    <row r="71" spans="1:19" ht="15.5" x14ac:dyDescent="0.35">
      <c r="A71" s="5">
        <f t="shared" si="1"/>
        <v>70</v>
      </c>
      <c r="B71" s="22" t="s">
        <v>12</v>
      </c>
      <c r="C71" s="44"/>
      <c r="D71" s="3">
        <v>1</v>
      </c>
      <c r="E71" s="3">
        <v>1</v>
      </c>
      <c r="F71" s="23">
        <v>1</v>
      </c>
      <c r="G71" s="20"/>
      <c r="H71" s="1"/>
      <c r="I71" s="1"/>
      <c r="J71" s="1"/>
      <c r="K71" s="63"/>
      <c r="L71" s="21"/>
      <c r="Q71" s="26">
        <v>45073</v>
      </c>
      <c r="R71" s="31" t="s">
        <v>76</v>
      </c>
    </row>
    <row r="72" spans="1:19" ht="15.5" x14ac:dyDescent="0.35">
      <c r="A72" s="5">
        <f t="shared" si="1"/>
        <v>71</v>
      </c>
      <c r="B72" s="22" t="s">
        <v>60</v>
      </c>
      <c r="C72" s="27"/>
      <c r="D72" s="4"/>
      <c r="E72" s="3">
        <v>1</v>
      </c>
      <c r="F72" s="1"/>
      <c r="G72" s="20"/>
      <c r="H72" s="20"/>
      <c r="I72" s="20"/>
      <c r="J72" s="20"/>
      <c r="K72" s="63"/>
      <c r="L72" s="21"/>
      <c r="Q72" s="32"/>
      <c r="R72" s="31" t="s">
        <v>78</v>
      </c>
    </row>
    <row r="73" spans="1:19" ht="15.5" x14ac:dyDescent="0.35">
      <c r="A73" s="5">
        <f t="shared" si="1"/>
        <v>72</v>
      </c>
      <c r="B73" s="22" t="s">
        <v>83</v>
      </c>
      <c r="C73" s="18">
        <v>1</v>
      </c>
      <c r="D73" s="18">
        <v>1</v>
      </c>
      <c r="E73" s="4"/>
      <c r="F73" s="24">
        <v>1</v>
      </c>
      <c r="G73" s="1"/>
      <c r="H73" s="20"/>
      <c r="I73" s="1"/>
      <c r="J73" s="20"/>
      <c r="K73" s="63"/>
      <c r="L73" s="21"/>
      <c r="Q73" s="32">
        <v>45023</v>
      </c>
      <c r="R73" s="31" t="s">
        <v>87</v>
      </c>
    </row>
    <row r="74" spans="1:19" ht="15.5" x14ac:dyDescent="0.35">
      <c r="A74" s="19">
        <f t="shared" si="1"/>
        <v>73</v>
      </c>
      <c r="B74" s="51" t="s">
        <v>120</v>
      </c>
      <c r="C74" s="3">
        <v>1</v>
      </c>
      <c r="D74" s="4"/>
      <c r="E74" s="3">
        <v>1</v>
      </c>
      <c r="F74" s="1"/>
      <c r="G74" s="1"/>
      <c r="H74" s="1"/>
      <c r="I74" s="1"/>
      <c r="J74" s="20"/>
      <c r="K74" s="63"/>
      <c r="L74" s="6"/>
      <c r="R74" s="31"/>
    </row>
    <row r="75" spans="1:19" ht="15.5" x14ac:dyDescent="0.35">
      <c r="A75" s="19">
        <f t="shared" si="1"/>
        <v>74</v>
      </c>
      <c r="B75" s="2" t="s">
        <v>1</v>
      </c>
      <c r="C75" s="3">
        <v>1</v>
      </c>
      <c r="D75" s="3">
        <v>1</v>
      </c>
      <c r="E75" s="3">
        <v>1</v>
      </c>
      <c r="F75" s="3">
        <v>1</v>
      </c>
      <c r="G75" s="1"/>
      <c r="H75" s="1"/>
      <c r="I75" s="1"/>
      <c r="J75" s="1"/>
      <c r="K75" s="63"/>
      <c r="L75" s="6"/>
      <c r="Q75" s="32">
        <v>45117</v>
      </c>
      <c r="R75" s="31"/>
    </row>
    <row r="76" spans="1:19" ht="15.5" x14ac:dyDescent="0.35">
      <c r="A76" s="19">
        <f t="shared" si="1"/>
        <v>75</v>
      </c>
      <c r="B76" s="2" t="s">
        <v>81</v>
      </c>
      <c r="C76" s="4"/>
      <c r="D76" s="4"/>
      <c r="E76" s="4"/>
      <c r="F76" s="1"/>
      <c r="G76" s="20"/>
      <c r="H76" s="20"/>
      <c r="I76" s="1"/>
      <c r="J76" s="20"/>
      <c r="K76" s="63"/>
      <c r="L76" s="6"/>
      <c r="Q76" s="32">
        <v>45200</v>
      </c>
      <c r="R76" s="33" t="s">
        <v>82</v>
      </c>
    </row>
    <row r="77" spans="1:19" ht="15.5" x14ac:dyDescent="0.35">
      <c r="A77" s="19">
        <f t="shared" si="1"/>
        <v>76</v>
      </c>
      <c r="B77" s="2" t="s">
        <v>46</v>
      </c>
      <c r="C77" s="4"/>
      <c r="D77" s="4"/>
      <c r="E77" s="4"/>
      <c r="F77" s="1"/>
      <c r="G77" s="1"/>
      <c r="H77" s="20"/>
      <c r="I77" s="1"/>
      <c r="J77" s="20"/>
      <c r="K77" s="63"/>
      <c r="L77" s="6"/>
      <c r="Q77" s="32"/>
      <c r="R77" s="33"/>
    </row>
    <row r="78" spans="1:19" ht="15.5" x14ac:dyDescent="0.35">
      <c r="A78" s="5">
        <f t="shared" si="1"/>
        <v>77</v>
      </c>
      <c r="B78" s="2" t="s">
        <v>10</v>
      </c>
      <c r="C78" s="4"/>
      <c r="D78" s="3">
        <v>1</v>
      </c>
      <c r="E78" s="3">
        <v>1</v>
      </c>
      <c r="F78" s="1"/>
      <c r="G78" s="1"/>
      <c r="H78" s="1"/>
      <c r="I78" s="1"/>
      <c r="J78" s="1"/>
      <c r="K78" s="63"/>
      <c r="L78" s="6"/>
      <c r="Q78" s="32">
        <v>45121</v>
      </c>
    </row>
    <row r="79" spans="1:19" ht="15.5" x14ac:dyDescent="0.35">
      <c r="A79" s="5"/>
      <c r="B79" s="51" t="s">
        <v>130</v>
      </c>
      <c r="C79" s="4"/>
      <c r="D79" s="18">
        <v>1</v>
      </c>
      <c r="E79" s="4"/>
      <c r="F79" s="18">
        <v>1</v>
      </c>
      <c r="G79" s="1"/>
      <c r="H79" s="20"/>
      <c r="I79" s="1"/>
      <c r="J79" s="20"/>
      <c r="K79" s="63"/>
      <c r="L79" s="6"/>
      <c r="Q79" s="32"/>
      <c r="R79" s="31" t="s">
        <v>131</v>
      </c>
    </row>
    <row r="80" spans="1:19" ht="15.5" x14ac:dyDescent="0.35">
      <c r="A80" s="5"/>
      <c r="B80" s="51" t="s">
        <v>132</v>
      </c>
      <c r="C80" s="4"/>
      <c r="D80" s="4"/>
      <c r="E80" s="4"/>
      <c r="F80" s="1"/>
      <c r="G80" s="1"/>
      <c r="H80" s="20"/>
      <c r="I80" s="1"/>
      <c r="J80" s="20"/>
      <c r="K80" s="63"/>
      <c r="L80" s="6"/>
      <c r="Q80" s="32"/>
      <c r="R80" s="31"/>
    </row>
    <row r="81" spans="1:19" ht="15.5" x14ac:dyDescent="0.35">
      <c r="A81" s="5"/>
      <c r="B81" s="51" t="s">
        <v>133</v>
      </c>
      <c r="C81" s="4"/>
      <c r="D81" s="4"/>
      <c r="E81" s="4"/>
      <c r="F81" s="1"/>
      <c r="G81" s="1"/>
      <c r="H81" s="20"/>
      <c r="I81" s="60"/>
      <c r="J81" s="60"/>
      <c r="K81" s="63"/>
      <c r="L81" s="6"/>
      <c r="Q81" s="32"/>
      <c r="R81" s="31"/>
    </row>
    <row r="82" spans="1:19" ht="15.5" x14ac:dyDescent="0.35">
      <c r="A82" s="5"/>
      <c r="B82" s="51" t="s">
        <v>134</v>
      </c>
      <c r="C82" s="4"/>
      <c r="D82" s="4"/>
      <c r="E82" s="4"/>
      <c r="F82" s="1"/>
      <c r="G82" s="1"/>
      <c r="H82" s="20"/>
      <c r="I82" s="1"/>
      <c r="J82" s="60"/>
      <c r="K82" s="63"/>
      <c r="L82" s="6"/>
      <c r="Q82" s="32"/>
      <c r="R82" s="31"/>
    </row>
    <row r="83" spans="1:19" ht="15.5" x14ac:dyDescent="0.35">
      <c r="A83" s="5"/>
      <c r="B83" s="51" t="s">
        <v>135</v>
      </c>
      <c r="C83" s="4"/>
      <c r="D83" s="4"/>
      <c r="E83" s="4"/>
      <c r="F83" s="1"/>
      <c r="G83" s="1"/>
      <c r="H83" s="20"/>
      <c r="I83" s="1"/>
      <c r="J83" s="20"/>
      <c r="K83" s="63"/>
      <c r="L83" s="6"/>
      <c r="Q83" s="32"/>
      <c r="R83" s="31"/>
    </row>
    <row r="84" spans="1:19" ht="15.5" x14ac:dyDescent="0.35">
      <c r="A84" s="5"/>
      <c r="B84" s="51" t="s">
        <v>169</v>
      </c>
      <c r="C84" s="4"/>
      <c r="D84" s="4"/>
      <c r="E84" s="3">
        <v>1</v>
      </c>
      <c r="F84" s="18">
        <v>1</v>
      </c>
      <c r="G84" s="1"/>
      <c r="H84" s="20"/>
      <c r="I84" s="1"/>
      <c r="J84" s="20"/>
      <c r="K84" s="63"/>
      <c r="L84" s="6"/>
      <c r="Q84" s="32"/>
      <c r="R84" s="31"/>
    </row>
    <row r="85" spans="1:19" ht="15.5" x14ac:dyDescent="0.35">
      <c r="A85" s="5"/>
      <c r="B85" s="51" t="s">
        <v>161</v>
      </c>
      <c r="C85" s="3">
        <v>1</v>
      </c>
      <c r="D85" s="4"/>
      <c r="E85" s="4"/>
      <c r="F85" s="1"/>
      <c r="G85" s="1"/>
      <c r="H85" s="1"/>
      <c r="I85" s="1"/>
      <c r="J85" s="20"/>
      <c r="K85" s="63"/>
      <c r="L85" s="6"/>
      <c r="Q85" s="32"/>
      <c r="R85" s="31" t="s">
        <v>158</v>
      </c>
    </row>
    <row r="86" spans="1:19" ht="15.5" x14ac:dyDescent="0.35">
      <c r="A86" s="5"/>
      <c r="B86" s="51" t="s">
        <v>165</v>
      </c>
      <c r="C86" s="18">
        <v>1</v>
      </c>
      <c r="D86" s="3">
        <v>1</v>
      </c>
      <c r="E86" s="4"/>
      <c r="F86" s="1"/>
      <c r="G86" s="1"/>
      <c r="H86" s="1"/>
      <c r="I86" s="1"/>
      <c r="J86" s="20"/>
      <c r="K86" s="63"/>
      <c r="L86" s="6"/>
      <c r="Q86" s="32"/>
      <c r="R86" s="31"/>
    </row>
    <row r="87" spans="1:19" ht="15.5" x14ac:dyDescent="0.35">
      <c r="A87" s="5"/>
      <c r="B87" s="51" t="s">
        <v>140</v>
      </c>
      <c r="C87" s="4"/>
      <c r="D87" s="4"/>
      <c r="E87" s="4"/>
      <c r="F87" s="1"/>
      <c r="G87" s="1"/>
      <c r="H87" s="1"/>
      <c r="I87" s="1"/>
      <c r="J87" s="20"/>
      <c r="K87" s="63"/>
      <c r="L87" s="6"/>
      <c r="Q87" s="32"/>
      <c r="R87" s="31"/>
    </row>
    <row r="88" spans="1:19" ht="15.5" x14ac:dyDescent="0.35">
      <c r="A88" s="5"/>
      <c r="B88" s="51" t="s">
        <v>143</v>
      </c>
      <c r="C88" s="4"/>
      <c r="D88" s="18">
        <v>1</v>
      </c>
      <c r="E88" s="4"/>
      <c r="F88" s="1"/>
      <c r="G88" s="1"/>
      <c r="H88" s="1"/>
      <c r="I88" s="1"/>
      <c r="J88" s="20"/>
      <c r="K88" s="63"/>
      <c r="L88" s="6"/>
      <c r="Q88" s="32"/>
      <c r="R88" s="31"/>
    </row>
    <row r="89" spans="1:19" ht="15.5" x14ac:dyDescent="0.35">
      <c r="A89" s="5"/>
      <c r="B89" s="51" t="s">
        <v>159</v>
      </c>
      <c r="C89" s="18">
        <v>1</v>
      </c>
      <c r="D89" s="4"/>
      <c r="E89" s="3">
        <v>1</v>
      </c>
      <c r="F89" s="18">
        <v>1</v>
      </c>
      <c r="G89" s="1"/>
      <c r="H89" s="1"/>
      <c r="I89" s="1"/>
      <c r="J89" s="20"/>
      <c r="K89" s="63"/>
      <c r="L89" s="6"/>
      <c r="Q89" s="32"/>
      <c r="R89" s="31"/>
      <c r="S89" t="s">
        <v>151</v>
      </c>
    </row>
    <row r="90" spans="1:19" ht="15.5" x14ac:dyDescent="0.35">
      <c r="A90" s="5"/>
      <c r="B90" s="51" t="s">
        <v>145</v>
      </c>
      <c r="C90" s="3">
        <v>1</v>
      </c>
      <c r="D90" s="4"/>
      <c r="E90" s="4"/>
      <c r="F90" s="1"/>
      <c r="G90" s="1"/>
      <c r="H90" s="1"/>
      <c r="I90" s="1"/>
      <c r="J90" s="20"/>
      <c r="K90" s="63"/>
      <c r="L90" s="6"/>
      <c r="Q90" s="32"/>
      <c r="R90" s="31"/>
    </row>
    <row r="91" spans="1:19" ht="15.5" x14ac:dyDescent="0.35">
      <c r="A91" s="5"/>
      <c r="B91" s="51" t="s">
        <v>181</v>
      </c>
      <c r="C91" s="4"/>
      <c r="D91" s="18">
        <v>1</v>
      </c>
      <c r="E91" s="4"/>
      <c r="F91" s="18">
        <v>1</v>
      </c>
      <c r="G91" s="1"/>
      <c r="H91" s="1"/>
      <c r="I91" s="1"/>
      <c r="J91" s="20"/>
      <c r="K91" s="63"/>
      <c r="L91" s="6"/>
      <c r="Q91" s="32"/>
      <c r="R91" s="31"/>
    </row>
    <row r="92" spans="1:19" ht="15.5" x14ac:dyDescent="0.35">
      <c r="A92" s="5"/>
      <c r="B92" s="51" t="s">
        <v>150</v>
      </c>
      <c r="C92" s="4"/>
      <c r="D92" s="4"/>
      <c r="E92" s="4"/>
      <c r="F92" s="1"/>
      <c r="G92" s="1"/>
      <c r="H92" s="1"/>
      <c r="I92" s="1"/>
      <c r="J92" s="20"/>
      <c r="K92" s="63"/>
      <c r="L92" s="6"/>
      <c r="Q92" s="32"/>
      <c r="R92" s="31"/>
    </row>
    <row r="93" spans="1:19" ht="15.5" x14ac:dyDescent="0.35">
      <c r="A93" s="5"/>
      <c r="B93" s="51" t="s">
        <v>148</v>
      </c>
      <c r="C93" s="4"/>
      <c r="D93" s="4"/>
      <c r="E93" s="4"/>
      <c r="F93" s="1"/>
      <c r="G93" s="1"/>
      <c r="H93" s="1"/>
      <c r="I93" s="1"/>
      <c r="J93" s="20"/>
      <c r="K93" s="63"/>
      <c r="L93" s="6"/>
      <c r="Q93" s="32"/>
      <c r="R93" s="31"/>
    </row>
    <row r="94" spans="1:19" ht="15.5" x14ac:dyDescent="0.35">
      <c r="A94" s="5"/>
      <c r="B94" s="51" t="s">
        <v>149</v>
      </c>
      <c r="C94" s="4"/>
      <c r="D94" s="4"/>
      <c r="E94" s="4"/>
      <c r="F94" s="1"/>
      <c r="G94" s="1"/>
      <c r="H94" s="1"/>
      <c r="I94" s="1"/>
      <c r="J94" s="20"/>
      <c r="K94" s="63"/>
      <c r="L94" s="6"/>
      <c r="Q94" s="32"/>
      <c r="R94" s="31"/>
    </row>
    <row r="95" spans="1:19" ht="15.5" x14ac:dyDescent="0.35">
      <c r="A95" s="5"/>
      <c r="B95" s="73" t="s">
        <v>146</v>
      </c>
      <c r="C95" s="4"/>
      <c r="D95" s="4"/>
      <c r="E95" s="4"/>
      <c r="F95" s="1"/>
      <c r="G95" s="1"/>
      <c r="H95" s="1"/>
      <c r="I95" s="1"/>
      <c r="J95" s="20"/>
      <c r="K95" s="63"/>
      <c r="L95" s="6"/>
      <c r="Q95" s="32"/>
      <c r="R95" s="31"/>
    </row>
    <row r="96" spans="1:19" ht="15.5" x14ac:dyDescent="0.35">
      <c r="A96" s="5"/>
      <c r="B96" s="51" t="s">
        <v>152</v>
      </c>
      <c r="C96" s="4"/>
      <c r="D96" s="4"/>
      <c r="E96" s="4"/>
      <c r="F96" s="1"/>
      <c r="G96" s="1"/>
      <c r="H96" s="1"/>
      <c r="I96" s="1"/>
      <c r="J96" s="1"/>
      <c r="K96" s="63"/>
      <c r="L96" s="6"/>
      <c r="Q96" s="32"/>
      <c r="R96" s="31"/>
    </row>
    <row r="97" spans="1:18" ht="15.5" x14ac:dyDescent="0.35">
      <c r="A97" s="5"/>
      <c r="B97" s="51" t="s">
        <v>153</v>
      </c>
      <c r="C97" s="4"/>
      <c r="D97" s="4"/>
      <c r="E97" s="4"/>
      <c r="F97" s="1"/>
      <c r="G97" s="1"/>
      <c r="H97" s="1"/>
      <c r="I97" s="1"/>
      <c r="J97" s="1"/>
      <c r="K97" s="63"/>
      <c r="L97" s="6"/>
      <c r="Q97" s="32"/>
      <c r="R97" s="31"/>
    </row>
    <row r="98" spans="1:18" ht="15.5" x14ac:dyDescent="0.35">
      <c r="A98" s="5"/>
      <c r="B98" s="51" t="s">
        <v>155</v>
      </c>
      <c r="C98" s="3">
        <v>1</v>
      </c>
      <c r="D98" s="4"/>
      <c r="E98" s="4"/>
      <c r="F98" s="18">
        <v>1</v>
      </c>
      <c r="G98" s="1"/>
      <c r="H98" s="1"/>
      <c r="I98" s="1"/>
      <c r="J98" s="1"/>
      <c r="K98" s="1"/>
      <c r="L98" s="6"/>
      <c r="Q98" s="32"/>
      <c r="R98" s="31" t="s">
        <v>156</v>
      </c>
    </row>
    <row r="99" spans="1:18" ht="15.5" x14ac:dyDescent="0.35">
      <c r="A99" s="5"/>
      <c r="B99" s="51" t="s">
        <v>160</v>
      </c>
      <c r="C99" s="18">
        <v>1</v>
      </c>
      <c r="D99" s="4"/>
      <c r="E99" s="4"/>
      <c r="F99" s="1"/>
      <c r="G99" s="1"/>
      <c r="H99" s="1"/>
      <c r="I99" s="1"/>
      <c r="J99" s="1"/>
      <c r="K99" s="1"/>
      <c r="L99" s="6"/>
      <c r="Q99" s="32"/>
      <c r="R99" s="31"/>
    </row>
    <row r="100" spans="1:18" ht="15.5" x14ac:dyDescent="0.35">
      <c r="A100" s="5"/>
      <c r="B100" s="51" t="s">
        <v>154</v>
      </c>
      <c r="C100" s="3">
        <v>1</v>
      </c>
      <c r="D100" s="4"/>
      <c r="E100" s="4"/>
      <c r="F100" s="3">
        <v>1</v>
      </c>
      <c r="G100" s="1"/>
      <c r="H100" s="1"/>
      <c r="I100" s="1"/>
      <c r="J100" s="1"/>
      <c r="K100" s="1"/>
      <c r="L100" s="6"/>
      <c r="Q100" s="32"/>
      <c r="R100" s="31" t="s">
        <v>157</v>
      </c>
    </row>
    <row r="101" spans="1:18" ht="15.5" x14ac:dyDescent="0.35">
      <c r="A101" s="5"/>
      <c r="B101" s="2" t="s">
        <v>167</v>
      </c>
      <c r="C101" s="16"/>
      <c r="D101" s="3">
        <v>1</v>
      </c>
      <c r="E101" s="4"/>
      <c r="F101" s="1"/>
      <c r="G101" s="1"/>
      <c r="H101" s="1"/>
      <c r="I101" s="1"/>
      <c r="J101" s="1"/>
      <c r="K101" s="1"/>
      <c r="L101" s="6"/>
      <c r="Q101" s="32"/>
      <c r="R101" s="31"/>
    </row>
    <row r="102" spans="1:18" ht="15.5" x14ac:dyDescent="0.35">
      <c r="A102" s="5"/>
      <c r="B102" s="2" t="s">
        <v>164</v>
      </c>
      <c r="C102" s="16"/>
      <c r="D102" s="3">
        <v>1</v>
      </c>
      <c r="E102" s="4"/>
      <c r="F102" s="1"/>
      <c r="G102" s="1"/>
      <c r="H102" s="1"/>
      <c r="I102" s="1"/>
      <c r="J102" s="1"/>
      <c r="K102" s="1"/>
      <c r="L102" s="6"/>
      <c r="Q102" s="32"/>
      <c r="R102" s="31"/>
    </row>
    <row r="103" spans="1:18" ht="15.5" x14ac:dyDescent="0.35">
      <c r="A103" s="5"/>
      <c r="B103" s="2" t="s">
        <v>162</v>
      </c>
      <c r="C103" s="16"/>
      <c r="D103" s="3">
        <v>1</v>
      </c>
      <c r="E103" s="3">
        <v>1</v>
      </c>
      <c r="F103" s="3">
        <v>1</v>
      </c>
      <c r="G103" s="1"/>
      <c r="H103" s="1"/>
      <c r="I103" s="1"/>
      <c r="J103" s="1"/>
      <c r="K103" s="1"/>
      <c r="L103" s="6"/>
      <c r="Q103" s="32"/>
      <c r="R103" s="31" t="s">
        <v>163</v>
      </c>
    </row>
    <row r="104" spans="1:18" ht="15.5" x14ac:dyDescent="0.35">
      <c r="A104" s="75"/>
      <c r="B104" s="78" t="s">
        <v>170</v>
      </c>
      <c r="C104" s="61"/>
      <c r="D104" s="61"/>
      <c r="E104" s="3">
        <v>1</v>
      </c>
      <c r="F104" s="59">
        <v>1</v>
      </c>
      <c r="G104" s="60"/>
      <c r="H104" s="60"/>
      <c r="I104" s="60"/>
      <c r="J104" s="64"/>
      <c r="K104" s="74"/>
      <c r="L104" s="77"/>
      <c r="Q104" s="32"/>
      <c r="R104" s="31" t="s">
        <v>174</v>
      </c>
    </row>
    <row r="105" spans="1:18" ht="15.5" x14ac:dyDescent="0.35">
      <c r="A105" s="75"/>
      <c r="B105" s="78" t="s">
        <v>171</v>
      </c>
      <c r="C105" s="61"/>
      <c r="D105" s="61"/>
      <c r="E105" s="3">
        <v>1</v>
      </c>
      <c r="F105" s="60"/>
      <c r="G105" s="60"/>
      <c r="H105" s="60"/>
      <c r="I105" s="60"/>
      <c r="J105" s="64"/>
      <c r="K105" s="74"/>
      <c r="L105" s="77"/>
      <c r="Q105" s="32"/>
      <c r="R105" s="31" t="s">
        <v>175</v>
      </c>
    </row>
    <row r="106" spans="1:18" ht="15.5" x14ac:dyDescent="0.35">
      <c r="A106" s="75"/>
      <c r="B106" s="78" t="s">
        <v>172</v>
      </c>
      <c r="C106" s="61"/>
      <c r="D106" s="61"/>
      <c r="E106" s="3">
        <v>1</v>
      </c>
      <c r="F106" s="60"/>
      <c r="G106" s="60"/>
      <c r="H106" s="60"/>
      <c r="I106" s="60"/>
      <c r="J106" s="64"/>
      <c r="K106" s="74"/>
      <c r="L106" s="77"/>
      <c r="Q106" s="32"/>
      <c r="R106" s="31" t="s">
        <v>173</v>
      </c>
    </row>
    <row r="107" spans="1:18" ht="15.5" x14ac:dyDescent="0.35">
      <c r="A107" s="75"/>
      <c r="B107" s="76" t="s">
        <v>179</v>
      </c>
      <c r="C107" s="61"/>
      <c r="D107" s="61"/>
      <c r="E107" s="61"/>
      <c r="F107" s="58">
        <v>1</v>
      </c>
      <c r="G107" s="60"/>
      <c r="H107" s="60"/>
      <c r="I107" s="60"/>
      <c r="J107" s="64"/>
      <c r="K107" s="74"/>
      <c r="L107" s="77"/>
      <c r="Q107" s="32"/>
      <c r="R107" s="31"/>
    </row>
    <row r="108" spans="1:18" ht="15.5" x14ac:dyDescent="0.35">
      <c r="A108" s="75"/>
      <c r="B108" s="76" t="s">
        <v>180</v>
      </c>
      <c r="C108" s="61"/>
      <c r="D108" s="61"/>
      <c r="E108" s="61"/>
      <c r="F108" s="58">
        <v>1</v>
      </c>
      <c r="G108" s="60"/>
      <c r="H108" s="60"/>
      <c r="I108" s="60"/>
      <c r="J108" s="64"/>
      <c r="K108" s="74"/>
      <c r="L108" s="77"/>
      <c r="Q108" s="32"/>
      <c r="R108" s="31"/>
    </row>
    <row r="109" spans="1:18" ht="15.5" x14ac:dyDescent="0.35">
      <c r="A109" s="75"/>
      <c r="B109" s="76" t="s">
        <v>182</v>
      </c>
      <c r="C109" s="61"/>
      <c r="D109" s="61"/>
      <c r="E109" s="61"/>
      <c r="F109" s="59">
        <v>1</v>
      </c>
      <c r="G109" s="60"/>
      <c r="H109" s="60"/>
      <c r="I109" s="60"/>
      <c r="J109" s="64"/>
      <c r="K109" s="74"/>
      <c r="L109" s="77"/>
      <c r="Q109" s="32"/>
      <c r="R109" s="31" t="s">
        <v>183</v>
      </c>
    </row>
    <row r="110" spans="1:18" ht="16" thickBot="1" x14ac:dyDescent="0.4">
      <c r="A110" s="53"/>
      <c r="B110" s="54"/>
      <c r="C110" s="56"/>
      <c r="D110" s="61"/>
      <c r="E110" s="61"/>
      <c r="F110" s="55"/>
      <c r="G110" s="55"/>
      <c r="H110" s="60"/>
      <c r="I110" s="55"/>
      <c r="J110" s="64"/>
      <c r="K110" s="74"/>
      <c r="L110" s="57" t="s">
        <v>126</v>
      </c>
      <c r="R110" s="31"/>
    </row>
    <row r="111" spans="1:18" ht="15" thickBot="1" x14ac:dyDescent="0.4">
      <c r="A111" s="47"/>
      <c r="B111" s="48" t="s">
        <v>26</v>
      </c>
      <c r="C111" s="49">
        <f>SUM(C2:C100)</f>
        <v>32</v>
      </c>
      <c r="D111" s="49">
        <f>SUM(D2:D110)</f>
        <v>40</v>
      </c>
      <c r="E111" s="49">
        <f>SUM(E2:E110)</f>
        <v>47</v>
      </c>
      <c r="F111" s="49">
        <f>SUM(F2:F110)</f>
        <v>36</v>
      </c>
      <c r="G111" s="49"/>
      <c r="H111" s="49"/>
      <c r="I111" s="49"/>
      <c r="J111" s="49"/>
      <c r="K111" s="65"/>
      <c r="L111" s="50">
        <f>AVERAGE(C111:I111)</f>
        <v>38.75</v>
      </c>
    </row>
  </sheetData>
  <autoFilter ref="A1:R109" xr:uid="{D4C5FFA3-8B87-43F6-BBAA-4D6E78132585}">
    <sortState xmlns:xlrd2="http://schemas.microsoft.com/office/spreadsheetml/2017/richdata2" ref="A2:R78">
      <sortCondition ref="B1:B78"/>
    </sortState>
  </autoFilter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1635-CE6E-4955-9BDC-B2ADD8867193}">
  <dimension ref="A1:T121"/>
  <sheetViews>
    <sheetView zoomScale="85" zoomScaleNormal="85" workbookViewId="0">
      <pane xSplit="3" ySplit="1" topLeftCell="D57" activePane="bottomRight" state="frozen"/>
      <selection pane="topRight" activeCell="D1" sqref="D1"/>
      <selection pane="bottomLeft" activeCell="A2" sqref="A2"/>
      <selection pane="bottomRight" activeCell="P9" sqref="P9"/>
    </sheetView>
  </sheetViews>
  <sheetFormatPr defaultRowHeight="14.5" x14ac:dyDescent="0.35"/>
  <cols>
    <col min="1" max="1" width="8.7265625" style="123"/>
    <col min="2" max="2" width="22" customWidth="1"/>
    <col min="3" max="3" width="30.90625" customWidth="1"/>
    <col min="4" max="13" width="4.6328125" customWidth="1"/>
    <col min="14" max="14" width="10.90625" customWidth="1"/>
    <col min="19" max="19" width="14.6328125" customWidth="1"/>
  </cols>
  <sheetData>
    <row r="1" spans="1:19" ht="56.5" customHeight="1" thickBot="1" x14ac:dyDescent="0.4">
      <c r="A1" s="120" t="s">
        <v>39</v>
      </c>
      <c r="B1" s="105" t="s">
        <v>184</v>
      </c>
      <c r="C1" s="106" t="s">
        <v>185</v>
      </c>
      <c r="D1" s="170">
        <v>45347</v>
      </c>
      <c r="E1" s="170">
        <v>45375</v>
      </c>
      <c r="F1" s="170">
        <v>45410</v>
      </c>
      <c r="G1" s="170">
        <v>45438</v>
      </c>
      <c r="H1" s="170">
        <v>45473</v>
      </c>
      <c r="I1" s="170">
        <v>45501</v>
      </c>
      <c r="J1" s="170">
        <v>45536</v>
      </c>
      <c r="K1" s="171">
        <v>45564</v>
      </c>
      <c r="L1" s="115"/>
      <c r="M1" s="115" t="s">
        <v>37</v>
      </c>
      <c r="N1" s="116" t="s">
        <v>38</v>
      </c>
      <c r="R1" t="s">
        <v>65</v>
      </c>
      <c r="S1" t="s">
        <v>86</v>
      </c>
    </row>
    <row r="2" spans="1:19" ht="18.5" x14ac:dyDescent="0.35">
      <c r="A2" s="293">
        <v>1</v>
      </c>
      <c r="B2" s="92" t="s">
        <v>186</v>
      </c>
      <c r="C2" s="92" t="s">
        <v>277</v>
      </c>
      <c r="D2" s="93">
        <v>1</v>
      </c>
      <c r="E2" s="94"/>
      <c r="F2" s="95">
        <v>1</v>
      </c>
      <c r="G2" s="94"/>
      <c r="H2" s="94"/>
      <c r="I2" s="94"/>
      <c r="J2" s="94"/>
      <c r="K2" s="94"/>
      <c r="L2" s="84"/>
      <c r="M2" s="84"/>
      <c r="N2" s="85"/>
      <c r="O2" t="s">
        <v>374</v>
      </c>
    </row>
    <row r="3" spans="1:19" ht="19" thickBot="1" x14ac:dyDescent="0.4">
      <c r="A3" s="294"/>
      <c r="B3" s="96" t="s">
        <v>186</v>
      </c>
      <c r="C3" s="96" t="s">
        <v>313</v>
      </c>
      <c r="D3" s="87"/>
      <c r="E3" s="87"/>
      <c r="F3" s="88">
        <v>1</v>
      </c>
      <c r="G3" s="97">
        <v>1</v>
      </c>
      <c r="H3" s="87"/>
      <c r="I3" s="87"/>
      <c r="J3" s="87"/>
      <c r="K3" s="87"/>
      <c r="L3" s="89"/>
      <c r="M3" s="89"/>
      <c r="N3" s="90"/>
    </row>
    <row r="4" spans="1:19" ht="18.5" x14ac:dyDescent="0.35">
      <c r="A4" s="155">
        <v>2</v>
      </c>
      <c r="B4" s="81" t="s">
        <v>187</v>
      </c>
      <c r="C4" s="81" t="s">
        <v>309</v>
      </c>
      <c r="D4" s="107">
        <v>1</v>
      </c>
      <c r="E4" s="108">
        <v>1</v>
      </c>
      <c r="F4" s="82"/>
      <c r="G4" s="82"/>
      <c r="H4" s="82"/>
      <c r="I4" s="82"/>
      <c r="J4" s="82"/>
      <c r="K4" s="82"/>
      <c r="L4" s="80"/>
      <c r="M4" s="80"/>
      <c r="N4" s="112"/>
      <c r="O4" t="s">
        <v>374</v>
      </c>
    </row>
    <row r="5" spans="1:19" ht="19" thickBot="1" x14ac:dyDescent="0.4">
      <c r="A5" s="156">
        <v>3</v>
      </c>
      <c r="B5" s="101" t="s">
        <v>188</v>
      </c>
      <c r="C5" s="101" t="s">
        <v>311</v>
      </c>
      <c r="D5" s="27"/>
      <c r="E5" s="27"/>
      <c r="F5" s="23">
        <v>1</v>
      </c>
      <c r="G5" s="27"/>
      <c r="H5" s="27"/>
      <c r="I5" s="88">
        <v>1</v>
      </c>
      <c r="J5" s="27"/>
      <c r="K5" s="27"/>
      <c r="L5" s="100"/>
      <c r="M5" s="100"/>
      <c r="N5" s="113"/>
    </row>
    <row r="6" spans="1:19" ht="19" thickBot="1" x14ac:dyDescent="0.4">
      <c r="A6" s="295">
        <v>4</v>
      </c>
      <c r="B6" s="102" t="s">
        <v>188</v>
      </c>
      <c r="C6" s="102" t="s">
        <v>301</v>
      </c>
      <c r="D6" s="94"/>
      <c r="E6" s="94"/>
      <c r="F6" s="95">
        <v>1</v>
      </c>
      <c r="G6" s="94"/>
      <c r="H6" s="94"/>
      <c r="I6" s="94"/>
      <c r="J6" s="95">
        <v>1</v>
      </c>
      <c r="K6" s="94"/>
      <c r="L6" s="99"/>
      <c r="M6" s="99"/>
      <c r="N6" s="103"/>
    </row>
    <row r="7" spans="1:19" ht="19" thickBot="1" x14ac:dyDescent="0.4">
      <c r="A7" s="296"/>
      <c r="B7" s="104" t="s">
        <v>188</v>
      </c>
      <c r="C7" s="104" t="s">
        <v>248</v>
      </c>
      <c r="D7" s="87"/>
      <c r="E7" s="97">
        <v>1</v>
      </c>
      <c r="F7" s="88">
        <v>1</v>
      </c>
      <c r="G7" s="87"/>
      <c r="H7" s="87"/>
      <c r="I7" s="95">
        <v>1</v>
      </c>
      <c r="J7" s="95">
        <v>1</v>
      </c>
      <c r="K7" s="87"/>
      <c r="L7" s="8"/>
      <c r="M7" s="8"/>
      <c r="N7" s="9"/>
    </row>
    <row r="8" spans="1:19" ht="18.5" x14ac:dyDescent="0.35">
      <c r="A8" s="293">
        <v>5</v>
      </c>
      <c r="B8" s="92" t="s">
        <v>189</v>
      </c>
      <c r="C8" s="92" t="s">
        <v>278</v>
      </c>
      <c r="D8" s="94"/>
      <c r="E8" s="94"/>
      <c r="F8" s="94"/>
      <c r="G8" s="94"/>
      <c r="H8" s="94"/>
      <c r="I8" s="95">
        <v>1</v>
      </c>
      <c r="J8" s="95">
        <v>1</v>
      </c>
      <c r="K8" s="59">
        <v>1</v>
      </c>
      <c r="L8" s="84"/>
      <c r="M8" s="84"/>
      <c r="N8" s="85"/>
    </row>
    <row r="9" spans="1:19" ht="19" thickBot="1" x14ac:dyDescent="0.4">
      <c r="A9" s="294"/>
      <c r="B9" s="96" t="s">
        <v>189</v>
      </c>
      <c r="C9" s="96" t="s">
        <v>259</v>
      </c>
      <c r="D9" s="87"/>
      <c r="E9" s="88">
        <v>1</v>
      </c>
      <c r="F9" s="87"/>
      <c r="G9" s="87"/>
      <c r="H9" s="88">
        <v>1</v>
      </c>
      <c r="I9" s="88">
        <v>1</v>
      </c>
      <c r="J9" s="88">
        <v>1</v>
      </c>
      <c r="K9" s="59">
        <v>1</v>
      </c>
      <c r="L9" s="89"/>
      <c r="M9" s="89"/>
      <c r="N9" s="90"/>
    </row>
    <row r="10" spans="1:19" ht="19" thickBot="1" x14ac:dyDescent="0.4">
      <c r="A10" s="157">
        <v>6</v>
      </c>
      <c r="B10" s="91" t="s">
        <v>190</v>
      </c>
      <c r="C10" s="91" t="s">
        <v>191</v>
      </c>
      <c r="D10" s="59">
        <v>1</v>
      </c>
      <c r="E10" s="67"/>
      <c r="F10" s="67"/>
      <c r="G10" s="67"/>
      <c r="H10" s="67"/>
      <c r="I10" s="67"/>
      <c r="J10" s="95">
        <v>1</v>
      </c>
      <c r="K10" s="67"/>
      <c r="L10" s="60"/>
      <c r="M10" s="60"/>
      <c r="N10" s="77"/>
    </row>
    <row r="11" spans="1:19" ht="18.5" x14ac:dyDescent="0.35">
      <c r="A11" s="293">
        <v>7</v>
      </c>
      <c r="B11" s="92" t="s">
        <v>192</v>
      </c>
      <c r="C11" s="92" t="s">
        <v>279</v>
      </c>
      <c r="D11" s="94"/>
      <c r="E11" s="94"/>
      <c r="F11" s="94"/>
      <c r="G11" s="94"/>
      <c r="H11" s="94"/>
      <c r="I11" s="94"/>
      <c r="J11" s="94"/>
      <c r="K11" s="94"/>
      <c r="L11" s="84"/>
      <c r="M11" s="84"/>
      <c r="N11" s="85"/>
      <c r="O11" t="s">
        <v>374</v>
      </c>
    </row>
    <row r="12" spans="1:19" ht="19" thickBot="1" x14ac:dyDescent="0.4">
      <c r="A12" s="294"/>
      <c r="B12" s="96" t="s">
        <v>192</v>
      </c>
      <c r="C12" s="96" t="s">
        <v>298</v>
      </c>
      <c r="D12" s="87"/>
      <c r="E12" s="97">
        <v>1</v>
      </c>
      <c r="F12" s="88">
        <v>1</v>
      </c>
      <c r="G12" s="87"/>
      <c r="H12" s="87"/>
      <c r="I12" s="87"/>
      <c r="J12" s="97">
        <v>1</v>
      </c>
      <c r="K12" s="97">
        <v>1</v>
      </c>
      <c r="L12" s="89"/>
      <c r="M12" s="89"/>
      <c r="N12" s="90"/>
    </row>
    <row r="13" spans="1:19" ht="19" thickBot="1" x14ac:dyDescent="0.4">
      <c r="A13" s="157">
        <v>8</v>
      </c>
      <c r="B13" s="91" t="s">
        <v>192</v>
      </c>
      <c r="C13" s="91" t="s">
        <v>193</v>
      </c>
      <c r="D13" s="58">
        <v>1</v>
      </c>
      <c r="E13" s="98"/>
      <c r="F13" s="58">
        <v>1</v>
      </c>
      <c r="G13" s="59">
        <v>1</v>
      </c>
      <c r="H13" s="98"/>
      <c r="I13" s="67"/>
      <c r="J13" s="67"/>
      <c r="K13" s="59">
        <v>1</v>
      </c>
      <c r="L13" s="60"/>
      <c r="M13" s="60"/>
      <c r="N13" s="77"/>
    </row>
    <row r="14" spans="1:19" ht="18.5" x14ac:dyDescent="0.35">
      <c r="A14" s="293">
        <v>9</v>
      </c>
      <c r="B14" s="92" t="s">
        <v>194</v>
      </c>
      <c r="C14" s="92" t="s">
        <v>280</v>
      </c>
      <c r="D14" s="93">
        <v>1</v>
      </c>
      <c r="E14" s="94"/>
      <c r="F14" s="95">
        <v>1</v>
      </c>
      <c r="G14" s="93">
        <v>1</v>
      </c>
      <c r="H14" s="95">
        <v>1</v>
      </c>
      <c r="I14" s="94"/>
      <c r="J14" s="94"/>
      <c r="K14" s="94"/>
      <c r="L14" s="84"/>
      <c r="M14" s="84"/>
      <c r="N14" s="85"/>
    </row>
    <row r="15" spans="1:19" ht="19" thickBot="1" x14ac:dyDescent="0.4">
      <c r="A15" s="294"/>
      <c r="B15" s="96" t="s">
        <v>194</v>
      </c>
      <c r="C15" s="96" t="s">
        <v>45</v>
      </c>
      <c r="D15" s="97">
        <v>1</v>
      </c>
      <c r="E15" s="97">
        <v>1</v>
      </c>
      <c r="F15" s="87"/>
      <c r="G15" s="87"/>
      <c r="H15" s="88">
        <v>1</v>
      </c>
      <c r="I15" s="87"/>
      <c r="J15" s="87"/>
      <c r="K15" s="88">
        <v>1</v>
      </c>
      <c r="L15" s="89"/>
      <c r="M15" s="89"/>
      <c r="N15" s="90"/>
    </row>
    <row r="16" spans="1:19" ht="19" thickBot="1" x14ac:dyDescent="0.4">
      <c r="A16" s="157">
        <v>10</v>
      </c>
      <c r="B16" s="91" t="s">
        <v>195</v>
      </c>
      <c r="C16" s="91" t="s">
        <v>196</v>
      </c>
      <c r="D16" s="67"/>
      <c r="E16" s="67"/>
      <c r="F16" s="67"/>
      <c r="G16" s="67"/>
      <c r="H16" s="87"/>
      <c r="I16" s="67"/>
      <c r="J16" s="67"/>
      <c r="K16" s="67"/>
      <c r="L16" s="60"/>
      <c r="M16" s="60"/>
      <c r="N16" s="77"/>
      <c r="O16" t="s">
        <v>374</v>
      </c>
    </row>
    <row r="17" spans="1:15" ht="19" thickBot="1" x14ac:dyDescent="0.4">
      <c r="A17" s="293">
        <v>11</v>
      </c>
      <c r="B17" s="83" t="s">
        <v>197</v>
      </c>
      <c r="C17" s="83" t="s">
        <v>281</v>
      </c>
      <c r="D17" s="84"/>
      <c r="E17" s="84"/>
      <c r="F17" s="84"/>
      <c r="G17" s="84"/>
      <c r="H17" s="84"/>
      <c r="I17" s="94"/>
      <c r="J17" s="94"/>
      <c r="K17" s="94"/>
      <c r="L17" s="84"/>
      <c r="M17" s="84"/>
      <c r="N17" s="85"/>
    </row>
    <row r="18" spans="1:15" ht="19" thickBot="1" x14ac:dyDescent="0.4">
      <c r="A18" s="294"/>
      <c r="B18" s="86" t="s">
        <v>197</v>
      </c>
      <c r="C18" s="86" t="s">
        <v>330</v>
      </c>
      <c r="D18" s="87"/>
      <c r="E18" s="88">
        <v>1</v>
      </c>
      <c r="F18" s="87"/>
      <c r="G18" s="88">
        <v>1</v>
      </c>
      <c r="H18" s="88">
        <v>1</v>
      </c>
      <c r="I18" s="95">
        <v>1</v>
      </c>
      <c r="J18" s="97">
        <v>1</v>
      </c>
      <c r="K18" s="87"/>
      <c r="L18" s="89"/>
      <c r="M18" s="89"/>
      <c r="N18" s="90"/>
    </row>
    <row r="19" spans="1:15" ht="19" thickBot="1" x14ac:dyDescent="0.4">
      <c r="A19" s="155">
        <v>12</v>
      </c>
      <c r="B19" s="81" t="s">
        <v>198</v>
      </c>
      <c r="C19" s="81" t="s">
        <v>199</v>
      </c>
      <c r="D19" s="82"/>
      <c r="E19" s="82"/>
      <c r="F19" s="82"/>
      <c r="G19" s="82"/>
      <c r="H19" s="87"/>
      <c r="I19" s="82"/>
      <c r="J19" s="82"/>
      <c r="K19" s="82"/>
      <c r="L19" s="80"/>
      <c r="M19" s="80"/>
      <c r="N19" s="112"/>
      <c r="O19" t="s">
        <v>374</v>
      </c>
    </row>
    <row r="20" spans="1:15" ht="19" thickBot="1" x14ac:dyDescent="0.4">
      <c r="A20" s="160">
        <f t="shared" ref="A20:A73" si="0">A19+1</f>
        <v>13</v>
      </c>
      <c r="B20" s="101" t="s">
        <v>200</v>
      </c>
      <c r="C20" s="101" t="s">
        <v>201</v>
      </c>
      <c r="D20" s="25"/>
      <c r="E20" s="23">
        <v>1</v>
      </c>
      <c r="F20" s="23">
        <v>1</v>
      </c>
      <c r="G20" s="23">
        <v>1</v>
      </c>
      <c r="H20" s="87"/>
      <c r="I20" s="27"/>
      <c r="J20" s="27"/>
      <c r="K20" s="27"/>
      <c r="L20" s="100"/>
      <c r="M20" s="100"/>
      <c r="N20" s="113"/>
    </row>
    <row r="21" spans="1:15" ht="18.5" x14ac:dyDescent="0.35">
      <c r="A21" s="295">
        <f t="shared" si="0"/>
        <v>14</v>
      </c>
      <c r="B21" s="102" t="s">
        <v>202</v>
      </c>
      <c r="C21" s="102" t="s">
        <v>282</v>
      </c>
      <c r="D21" s="93">
        <v>1</v>
      </c>
      <c r="E21" s="95">
        <v>1</v>
      </c>
      <c r="F21" s="95">
        <v>1</v>
      </c>
      <c r="G21" s="94"/>
      <c r="H21" s="95">
        <v>1</v>
      </c>
      <c r="I21" s="95">
        <v>1</v>
      </c>
      <c r="J21" s="95">
        <v>1</v>
      </c>
      <c r="K21" s="95">
        <v>1</v>
      </c>
      <c r="L21" s="99"/>
      <c r="M21" s="99"/>
      <c r="N21" s="103"/>
    </row>
    <row r="22" spans="1:15" ht="19" thickBot="1" x14ac:dyDescent="0.4">
      <c r="A22" s="296"/>
      <c r="B22" s="104" t="s">
        <v>202</v>
      </c>
      <c r="C22" s="104" t="s">
        <v>260</v>
      </c>
      <c r="D22" s="87"/>
      <c r="E22" s="87"/>
      <c r="F22" s="87"/>
      <c r="G22" s="87"/>
      <c r="H22" s="87"/>
      <c r="I22" s="87"/>
      <c r="J22" s="87"/>
      <c r="K22" s="87"/>
      <c r="L22" s="8"/>
      <c r="M22" s="8"/>
      <c r="N22" s="9"/>
      <c r="O22" t="s">
        <v>374</v>
      </c>
    </row>
    <row r="23" spans="1:15" ht="19" thickBot="1" x14ac:dyDescent="0.4">
      <c r="A23" s="157">
        <f>A21+1</f>
        <v>15</v>
      </c>
      <c r="B23" s="91" t="s">
        <v>356</v>
      </c>
      <c r="C23" s="91" t="s">
        <v>357</v>
      </c>
      <c r="D23" s="146"/>
      <c r="E23" s="146"/>
      <c r="F23" s="146"/>
      <c r="G23" s="146"/>
      <c r="H23" s="146"/>
      <c r="I23" s="95">
        <v>1</v>
      </c>
      <c r="J23" s="95">
        <v>1</v>
      </c>
      <c r="K23" s="97">
        <v>1</v>
      </c>
      <c r="L23" s="60"/>
      <c r="M23" s="60"/>
      <c r="N23" s="77"/>
    </row>
    <row r="24" spans="1:15" ht="19" thickBot="1" x14ac:dyDescent="0.4">
      <c r="A24" s="140">
        <f>A23+1</f>
        <v>16</v>
      </c>
      <c r="B24" s="92" t="s">
        <v>203</v>
      </c>
      <c r="C24" s="92" t="s">
        <v>204</v>
      </c>
      <c r="D24" s="94"/>
      <c r="E24" s="94"/>
      <c r="F24" s="95">
        <v>1</v>
      </c>
      <c r="G24" s="94"/>
      <c r="H24" s="95">
        <v>1</v>
      </c>
      <c r="I24" s="95">
        <v>1</v>
      </c>
      <c r="J24" s="95">
        <v>1</v>
      </c>
      <c r="K24" s="97">
        <v>1</v>
      </c>
      <c r="L24" s="84"/>
      <c r="M24" s="84"/>
      <c r="N24" s="85"/>
    </row>
    <row r="25" spans="1:15" ht="19" thickBot="1" x14ac:dyDescent="0.4">
      <c r="A25" s="141">
        <f t="shared" si="0"/>
        <v>17</v>
      </c>
      <c r="B25" s="104" t="s">
        <v>205</v>
      </c>
      <c r="C25" s="104" t="s">
        <v>206</v>
      </c>
      <c r="D25" s="87"/>
      <c r="E25" s="87"/>
      <c r="F25" s="87"/>
      <c r="G25" s="87"/>
      <c r="H25" s="87"/>
      <c r="I25" s="87"/>
      <c r="J25" s="87"/>
      <c r="K25" s="8"/>
      <c r="L25" s="8"/>
      <c r="M25" s="8"/>
      <c r="N25" s="9"/>
      <c r="O25" t="s">
        <v>374</v>
      </c>
    </row>
    <row r="26" spans="1:15" ht="19" thickBot="1" x14ac:dyDescent="0.4">
      <c r="A26" s="293">
        <f>A25+1</f>
        <v>18</v>
      </c>
      <c r="B26" s="92" t="s">
        <v>207</v>
      </c>
      <c r="C26" s="92" t="s">
        <v>283</v>
      </c>
      <c r="D26" s="95">
        <v>1</v>
      </c>
      <c r="E26" s="95">
        <v>1</v>
      </c>
      <c r="F26" s="95">
        <v>1</v>
      </c>
      <c r="G26" s="95">
        <v>1</v>
      </c>
      <c r="H26" s="95">
        <v>1</v>
      </c>
      <c r="I26" s="95">
        <v>1</v>
      </c>
      <c r="J26" s="97">
        <v>1</v>
      </c>
      <c r="K26" s="95">
        <v>1</v>
      </c>
      <c r="L26" s="84"/>
      <c r="M26" s="84"/>
      <c r="N26" s="85"/>
    </row>
    <row r="27" spans="1:15" ht="19" thickBot="1" x14ac:dyDescent="0.4">
      <c r="A27" s="294"/>
      <c r="B27" s="96" t="s">
        <v>207</v>
      </c>
      <c r="C27" s="96" t="s">
        <v>261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  <c r="I27" s="88">
        <v>1</v>
      </c>
      <c r="J27" s="87"/>
      <c r="K27" s="58">
        <v>1</v>
      </c>
      <c r="L27" s="89"/>
      <c r="M27" s="89"/>
      <c r="N27" s="90"/>
    </row>
    <row r="28" spans="1:15" ht="19" thickBot="1" x14ac:dyDescent="0.4">
      <c r="A28" s="297">
        <f>A26+1</f>
        <v>19</v>
      </c>
      <c r="B28" s="81" t="s">
        <v>208</v>
      </c>
      <c r="C28" s="81" t="s">
        <v>284</v>
      </c>
      <c r="D28" s="82"/>
      <c r="E28" s="108">
        <v>1</v>
      </c>
      <c r="F28" s="82"/>
      <c r="G28" s="82"/>
      <c r="H28" s="87"/>
      <c r="I28" s="82"/>
      <c r="J28" s="82"/>
      <c r="K28" s="82"/>
      <c r="L28" s="80"/>
      <c r="M28" s="80"/>
      <c r="N28" s="112"/>
      <c r="O28" t="s">
        <v>374</v>
      </c>
    </row>
    <row r="29" spans="1:15" ht="19" thickBot="1" x14ac:dyDescent="0.4">
      <c r="A29" s="298"/>
      <c r="B29" s="79" t="s">
        <v>208</v>
      </c>
      <c r="C29" s="79" t="s">
        <v>262</v>
      </c>
      <c r="D29" s="27"/>
      <c r="E29" s="27"/>
      <c r="F29" s="27"/>
      <c r="G29" s="27"/>
      <c r="H29" s="87"/>
      <c r="I29" s="27"/>
      <c r="J29" s="27"/>
      <c r="K29" s="27"/>
      <c r="L29" s="20"/>
      <c r="M29" s="20"/>
      <c r="N29" s="21"/>
      <c r="O29" t="s">
        <v>374</v>
      </c>
    </row>
    <row r="30" spans="1:15" ht="18.5" x14ac:dyDescent="0.35">
      <c r="A30" s="293">
        <f>A28+1</f>
        <v>20</v>
      </c>
      <c r="B30" s="92" t="s">
        <v>209</v>
      </c>
      <c r="C30" s="92" t="s">
        <v>285</v>
      </c>
      <c r="D30" s="95">
        <v>1</v>
      </c>
      <c r="E30" s="111"/>
      <c r="F30" s="95">
        <v>1</v>
      </c>
      <c r="G30" s="94"/>
      <c r="H30" s="95">
        <v>1</v>
      </c>
      <c r="I30" s="94"/>
      <c r="J30" s="94"/>
      <c r="K30" s="94"/>
      <c r="L30" s="84"/>
      <c r="M30" s="84"/>
      <c r="N30" s="85"/>
    </row>
    <row r="31" spans="1:15" ht="19" thickBot="1" x14ac:dyDescent="0.4">
      <c r="A31" s="294"/>
      <c r="B31" s="96" t="s">
        <v>209</v>
      </c>
      <c r="C31" s="96" t="s">
        <v>263</v>
      </c>
      <c r="D31" s="87"/>
      <c r="E31" s="87"/>
      <c r="F31" s="88">
        <v>1</v>
      </c>
      <c r="G31" s="87"/>
      <c r="H31" s="88">
        <v>1</v>
      </c>
      <c r="I31" s="87"/>
      <c r="J31" s="87"/>
      <c r="K31" s="87"/>
      <c r="L31" s="89"/>
      <c r="M31" s="89"/>
      <c r="N31" s="90"/>
    </row>
    <row r="32" spans="1:15" ht="19" thickBot="1" x14ac:dyDescent="0.4">
      <c r="A32" s="157">
        <f>A30+1</f>
        <v>21</v>
      </c>
      <c r="B32" s="91" t="s">
        <v>210</v>
      </c>
      <c r="C32" s="91" t="s">
        <v>211</v>
      </c>
      <c r="D32" s="58">
        <v>1</v>
      </c>
      <c r="E32" s="58">
        <v>1</v>
      </c>
      <c r="F32" s="58">
        <v>1</v>
      </c>
      <c r="G32" s="58">
        <v>1</v>
      </c>
      <c r="H32" s="58">
        <v>1</v>
      </c>
      <c r="I32" s="67"/>
      <c r="J32" s="95">
        <v>1</v>
      </c>
      <c r="K32" s="58">
        <v>1</v>
      </c>
      <c r="L32" s="60"/>
      <c r="M32" s="60"/>
      <c r="N32" s="77"/>
    </row>
    <row r="33" spans="1:19" ht="18.5" x14ac:dyDescent="0.35">
      <c r="A33" s="293">
        <f t="shared" si="0"/>
        <v>22</v>
      </c>
      <c r="B33" s="92" t="s">
        <v>212</v>
      </c>
      <c r="C33" s="92" t="s">
        <v>286</v>
      </c>
      <c r="D33" s="95">
        <v>1</v>
      </c>
      <c r="E33" s="95">
        <v>1</v>
      </c>
      <c r="F33" s="95">
        <v>1</v>
      </c>
      <c r="G33" s="95">
        <v>1</v>
      </c>
      <c r="H33" s="95">
        <v>1</v>
      </c>
      <c r="I33" s="95">
        <v>1</v>
      </c>
      <c r="J33" s="95">
        <v>1</v>
      </c>
      <c r="K33" s="95">
        <v>1</v>
      </c>
      <c r="L33" s="84"/>
      <c r="M33" s="84"/>
      <c r="N33" s="85"/>
    </row>
    <row r="34" spans="1:19" ht="19" thickBot="1" x14ac:dyDescent="0.4">
      <c r="A34" s="294"/>
      <c r="B34" s="96" t="s">
        <v>212</v>
      </c>
      <c r="C34" s="96" t="s">
        <v>304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  <c r="I34" s="88">
        <v>1</v>
      </c>
      <c r="J34" s="88">
        <v>1</v>
      </c>
      <c r="K34" s="88">
        <v>1</v>
      </c>
      <c r="L34" s="89"/>
      <c r="M34" s="89"/>
      <c r="N34" s="90"/>
    </row>
    <row r="35" spans="1:19" ht="18.5" x14ac:dyDescent="0.35">
      <c r="A35" s="291">
        <f>A33+1</f>
        <v>23</v>
      </c>
      <c r="B35" s="81" t="s">
        <v>322</v>
      </c>
      <c r="C35" s="81" t="s">
        <v>321</v>
      </c>
      <c r="D35" s="143"/>
      <c r="E35" s="143"/>
      <c r="F35" s="108">
        <v>1</v>
      </c>
      <c r="G35" s="107">
        <v>1</v>
      </c>
      <c r="H35" s="108">
        <v>1</v>
      </c>
      <c r="I35" s="82"/>
      <c r="J35" s="82"/>
      <c r="K35" s="142"/>
      <c r="L35" s="109"/>
      <c r="M35" s="109"/>
      <c r="N35" s="114"/>
    </row>
    <row r="36" spans="1:19" ht="19" thickBot="1" x14ac:dyDescent="0.4">
      <c r="A36" s="292"/>
      <c r="B36" s="79" t="s">
        <v>322</v>
      </c>
      <c r="C36" s="79" t="s">
        <v>323</v>
      </c>
      <c r="D36" s="25"/>
      <c r="E36" s="25"/>
      <c r="F36" s="23">
        <v>1</v>
      </c>
      <c r="G36" s="27"/>
      <c r="H36" s="87"/>
      <c r="I36" s="27"/>
      <c r="J36" s="27"/>
      <c r="K36" s="44"/>
      <c r="L36" s="100"/>
      <c r="M36" s="100"/>
      <c r="N36" s="113"/>
    </row>
    <row r="37" spans="1:19" ht="19" thickBot="1" x14ac:dyDescent="0.4">
      <c r="A37" s="291">
        <f>A35+1</f>
        <v>24</v>
      </c>
      <c r="B37" s="145" t="s">
        <v>329</v>
      </c>
      <c r="C37" s="145" t="s">
        <v>358</v>
      </c>
      <c r="D37" s="146"/>
      <c r="E37" s="146"/>
      <c r="F37" s="146"/>
      <c r="G37" s="147">
        <v>1</v>
      </c>
      <c r="H37" s="148">
        <v>1</v>
      </c>
      <c r="I37" s="151"/>
      <c r="J37" s="95">
        <v>1</v>
      </c>
      <c r="K37" s="151"/>
      <c r="L37" s="149"/>
      <c r="M37" s="149"/>
      <c r="N37" s="150"/>
    </row>
    <row r="38" spans="1:19" ht="19" thickBot="1" x14ac:dyDescent="0.4">
      <c r="A38" s="292"/>
      <c r="B38" s="145" t="s">
        <v>329</v>
      </c>
      <c r="C38" s="145" t="s">
        <v>372</v>
      </c>
      <c r="D38" s="61"/>
      <c r="E38" s="61"/>
      <c r="F38" s="61"/>
      <c r="G38" s="59"/>
      <c r="H38" s="58"/>
      <c r="I38" s="184"/>
      <c r="J38" s="95"/>
      <c r="K38" s="184"/>
      <c r="L38" s="118"/>
      <c r="M38" s="118"/>
      <c r="N38" s="119"/>
    </row>
    <row r="39" spans="1:19" ht="19" thickBot="1" x14ac:dyDescent="0.4">
      <c r="A39" s="297">
        <f>A37+1</f>
        <v>25</v>
      </c>
      <c r="B39" s="81" t="s">
        <v>213</v>
      </c>
      <c r="C39" s="81" t="s">
        <v>287</v>
      </c>
      <c r="D39" s="142"/>
      <c r="E39" s="108">
        <v>1</v>
      </c>
      <c r="F39" s="108">
        <v>1</v>
      </c>
      <c r="G39" s="108">
        <v>1</v>
      </c>
      <c r="H39" s="108">
        <v>1</v>
      </c>
      <c r="I39" s="95">
        <v>1</v>
      </c>
      <c r="J39" s="95">
        <v>1</v>
      </c>
      <c r="K39" s="93">
        <v>1</v>
      </c>
      <c r="L39" s="80"/>
      <c r="M39" s="80"/>
      <c r="N39" s="112"/>
    </row>
    <row r="40" spans="1:19" ht="19" thickBot="1" x14ac:dyDescent="0.4">
      <c r="A40" s="298"/>
      <c r="B40" s="79" t="s">
        <v>213</v>
      </c>
      <c r="C40" s="79" t="s">
        <v>264</v>
      </c>
      <c r="D40" s="23">
        <v>1</v>
      </c>
      <c r="E40" s="23">
        <v>1</v>
      </c>
      <c r="F40" s="23">
        <v>1</v>
      </c>
      <c r="G40" s="23">
        <v>1</v>
      </c>
      <c r="H40" s="23">
        <v>1</v>
      </c>
      <c r="I40" s="163">
        <v>1</v>
      </c>
      <c r="J40" s="163">
        <v>1</v>
      </c>
      <c r="K40" s="107">
        <v>1</v>
      </c>
      <c r="L40" s="20"/>
      <c r="M40" s="20"/>
      <c r="N40" s="21"/>
    </row>
    <row r="41" spans="1:19" ht="19" thickBot="1" x14ac:dyDescent="0.4">
      <c r="A41" s="299">
        <f>A39+1</f>
        <v>26</v>
      </c>
      <c r="B41" s="164" t="s">
        <v>343</v>
      </c>
      <c r="C41" s="164" t="s">
        <v>355</v>
      </c>
      <c r="D41" s="146"/>
      <c r="E41" s="146"/>
      <c r="F41" s="146"/>
      <c r="G41" s="146"/>
      <c r="H41" s="166"/>
      <c r="I41" s="167">
        <v>1</v>
      </c>
      <c r="J41" s="167">
        <v>1</v>
      </c>
      <c r="K41" s="82"/>
      <c r="L41" s="99"/>
      <c r="M41" s="99"/>
      <c r="N41" s="103"/>
    </row>
    <row r="42" spans="1:19" ht="19" thickBot="1" x14ac:dyDescent="0.4">
      <c r="A42" s="300"/>
      <c r="B42" s="165" t="s">
        <v>343</v>
      </c>
      <c r="C42" s="165" t="s">
        <v>344</v>
      </c>
      <c r="D42" s="146"/>
      <c r="E42" s="146"/>
      <c r="F42" s="146"/>
      <c r="G42" s="146"/>
      <c r="H42" s="166"/>
      <c r="I42" s="168">
        <v>1</v>
      </c>
      <c r="J42" s="168">
        <v>1</v>
      </c>
      <c r="K42" s="87"/>
      <c r="L42" s="8"/>
      <c r="M42" s="8"/>
      <c r="N42" s="9"/>
      <c r="S42" s="31" t="s">
        <v>347</v>
      </c>
    </row>
    <row r="43" spans="1:19" ht="18.5" x14ac:dyDescent="0.35">
      <c r="A43" s="293">
        <f>A41+1</f>
        <v>27</v>
      </c>
      <c r="B43" s="92" t="s">
        <v>214</v>
      </c>
      <c r="C43" s="92" t="s">
        <v>288</v>
      </c>
      <c r="D43" s="93">
        <v>1</v>
      </c>
      <c r="E43" s="93">
        <v>1</v>
      </c>
      <c r="F43" s="94"/>
      <c r="G43" s="94"/>
      <c r="H43" s="95">
        <v>1</v>
      </c>
      <c r="I43" s="82"/>
      <c r="J43" s="82"/>
      <c r="K43" s="58">
        <v>1</v>
      </c>
      <c r="L43" s="109"/>
      <c r="M43" s="109"/>
      <c r="N43" s="114"/>
    </row>
    <row r="44" spans="1:19" ht="19" thickBot="1" x14ac:dyDescent="0.4">
      <c r="A44" s="294"/>
      <c r="B44" s="96" t="s">
        <v>214</v>
      </c>
      <c r="C44" s="96" t="s">
        <v>265</v>
      </c>
      <c r="D44" s="97">
        <v>1</v>
      </c>
      <c r="E44" s="97">
        <v>1</v>
      </c>
      <c r="F44" s="88">
        <v>1</v>
      </c>
      <c r="G44" s="97">
        <v>1</v>
      </c>
      <c r="H44" s="88">
        <v>1</v>
      </c>
      <c r="I44" s="87"/>
      <c r="J44" s="87"/>
      <c r="K44" s="58">
        <v>1</v>
      </c>
      <c r="L44" s="89"/>
      <c r="M44" s="89"/>
      <c r="N44" s="90"/>
    </row>
    <row r="45" spans="1:19" ht="19" thickBot="1" x14ac:dyDescent="0.4">
      <c r="A45" s="157">
        <f>A43+1</f>
        <v>28</v>
      </c>
      <c r="B45" s="91" t="s">
        <v>215</v>
      </c>
      <c r="C45" s="91" t="s">
        <v>216</v>
      </c>
      <c r="D45" s="59">
        <v>1</v>
      </c>
      <c r="E45" s="67"/>
      <c r="F45" s="58">
        <v>1</v>
      </c>
      <c r="G45" s="67"/>
      <c r="H45" s="87"/>
      <c r="I45" s="67"/>
      <c r="J45" s="59">
        <v>1</v>
      </c>
      <c r="K45" s="67"/>
      <c r="L45" s="60"/>
      <c r="M45" s="60"/>
      <c r="N45" s="77"/>
    </row>
    <row r="46" spans="1:19" ht="19" thickBot="1" x14ac:dyDescent="0.4">
      <c r="A46" s="144">
        <f t="shared" si="0"/>
        <v>29</v>
      </c>
      <c r="B46" s="145" t="s">
        <v>215</v>
      </c>
      <c r="C46" s="145" t="s">
        <v>303</v>
      </c>
      <c r="D46" s="151"/>
      <c r="E46" s="151"/>
      <c r="F46" s="148">
        <v>1</v>
      </c>
      <c r="G46" s="151"/>
      <c r="H46" s="148">
        <v>1</v>
      </c>
      <c r="I46" s="151"/>
      <c r="J46" s="151"/>
      <c r="K46" s="151"/>
      <c r="L46" s="149"/>
      <c r="M46" s="149"/>
      <c r="N46" s="150"/>
    </row>
    <row r="47" spans="1:19" ht="19" thickBot="1" x14ac:dyDescent="0.4">
      <c r="A47" s="157">
        <f t="shared" si="0"/>
        <v>30</v>
      </c>
      <c r="B47" s="91" t="s">
        <v>215</v>
      </c>
      <c r="C47" s="91" t="s">
        <v>307</v>
      </c>
      <c r="D47" s="58">
        <v>1</v>
      </c>
      <c r="E47" s="67"/>
      <c r="F47" s="58">
        <v>1</v>
      </c>
      <c r="G47" s="58">
        <v>1</v>
      </c>
      <c r="H47" s="87"/>
      <c r="I47" s="67"/>
      <c r="J47" s="67"/>
      <c r="K47" s="58">
        <v>1</v>
      </c>
      <c r="L47" s="60"/>
      <c r="M47" s="60"/>
      <c r="N47" s="77"/>
    </row>
    <row r="48" spans="1:19" ht="18.5" x14ac:dyDescent="0.35">
      <c r="A48" s="293">
        <f t="shared" si="0"/>
        <v>31</v>
      </c>
      <c r="B48" s="92" t="s">
        <v>217</v>
      </c>
      <c r="C48" s="92" t="s">
        <v>289</v>
      </c>
      <c r="D48" s="94"/>
      <c r="E48" s="93">
        <v>1</v>
      </c>
      <c r="F48" s="95">
        <v>1</v>
      </c>
      <c r="G48" s="93">
        <v>1</v>
      </c>
      <c r="H48" s="95">
        <v>1</v>
      </c>
      <c r="I48" s="94"/>
      <c r="J48" s="58">
        <v>1</v>
      </c>
      <c r="K48" s="107">
        <v>1</v>
      </c>
      <c r="L48" s="84"/>
      <c r="M48" s="84"/>
      <c r="N48" s="85"/>
    </row>
    <row r="49" spans="1:15" ht="19" thickBot="1" x14ac:dyDescent="0.4">
      <c r="A49" s="294"/>
      <c r="B49" s="96" t="s">
        <v>217</v>
      </c>
      <c r="C49" s="96" t="s">
        <v>266</v>
      </c>
      <c r="D49" s="87"/>
      <c r="E49" s="97">
        <v>1</v>
      </c>
      <c r="F49" s="87"/>
      <c r="G49" s="87"/>
      <c r="H49" s="87"/>
      <c r="I49" s="87"/>
      <c r="J49" s="87"/>
      <c r="K49" s="107">
        <v>1</v>
      </c>
      <c r="L49" s="89"/>
      <c r="M49" s="89"/>
      <c r="N49" s="90"/>
    </row>
    <row r="50" spans="1:15" ht="19" thickBot="1" x14ac:dyDescent="0.4">
      <c r="A50" s="157">
        <f>A48+1</f>
        <v>32</v>
      </c>
      <c r="B50" s="91" t="s">
        <v>218</v>
      </c>
      <c r="C50" s="91" t="s">
        <v>219</v>
      </c>
      <c r="D50" s="61"/>
      <c r="E50" s="58">
        <v>1</v>
      </c>
      <c r="F50" s="67"/>
      <c r="G50" s="67"/>
      <c r="H50" s="87"/>
      <c r="I50" s="67"/>
      <c r="J50" s="67"/>
      <c r="K50" s="67"/>
      <c r="L50" s="60"/>
      <c r="M50" s="60"/>
      <c r="N50" s="77"/>
      <c r="O50" t="s">
        <v>374</v>
      </c>
    </row>
    <row r="51" spans="1:15" ht="19" thickBot="1" x14ac:dyDescent="0.4">
      <c r="A51" s="293">
        <f t="shared" si="0"/>
        <v>33</v>
      </c>
      <c r="B51" s="92" t="s">
        <v>299</v>
      </c>
      <c r="C51" s="92" t="s">
        <v>300</v>
      </c>
      <c r="D51" s="94"/>
      <c r="E51" s="95">
        <v>1</v>
      </c>
      <c r="F51" s="95">
        <v>1</v>
      </c>
      <c r="G51" s="94"/>
      <c r="H51" s="87"/>
      <c r="I51" s="94"/>
      <c r="J51" s="94"/>
      <c r="K51" s="94"/>
      <c r="L51" s="84"/>
      <c r="M51" s="84"/>
      <c r="N51" s="85"/>
    </row>
    <row r="52" spans="1:15" ht="19" thickBot="1" x14ac:dyDescent="0.4">
      <c r="A52" s="294"/>
      <c r="B52" s="96" t="s">
        <v>299</v>
      </c>
      <c r="C52" s="96" t="s">
        <v>267</v>
      </c>
      <c r="D52" s="217"/>
      <c r="E52" s="88">
        <v>1</v>
      </c>
      <c r="F52" s="88">
        <v>1</v>
      </c>
      <c r="G52" s="87"/>
      <c r="H52" s="88">
        <v>1</v>
      </c>
      <c r="I52" s="217"/>
      <c r="J52" s="87"/>
      <c r="K52" s="3">
        <v>1</v>
      </c>
      <c r="L52" s="89"/>
      <c r="M52" s="89"/>
      <c r="N52" s="90"/>
    </row>
    <row r="53" spans="1:15" ht="18.5" x14ac:dyDescent="0.35">
      <c r="A53" s="297">
        <f>A51+1</f>
        <v>34</v>
      </c>
      <c r="B53" s="81" t="s">
        <v>220</v>
      </c>
      <c r="C53" s="81" t="s">
        <v>290</v>
      </c>
      <c r="D53" s="108">
        <v>1</v>
      </c>
      <c r="E53" s="82"/>
      <c r="F53" s="108">
        <v>1</v>
      </c>
      <c r="G53" s="82"/>
      <c r="H53" s="108">
        <v>1</v>
      </c>
      <c r="I53" s="82"/>
      <c r="J53" s="108">
        <v>1</v>
      </c>
      <c r="K53" s="58">
        <v>1</v>
      </c>
      <c r="L53" s="80"/>
      <c r="M53" s="80"/>
      <c r="N53" s="112"/>
    </row>
    <row r="54" spans="1:15" ht="19" thickBot="1" x14ac:dyDescent="0.4">
      <c r="A54" s="298"/>
      <c r="B54" s="79" t="s">
        <v>220</v>
      </c>
      <c r="C54" s="79" t="s">
        <v>268</v>
      </c>
      <c r="D54" s="23">
        <v>1</v>
      </c>
      <c r="E54" s="27"/>
      <c r="F54" s="23">
        <v>1</v>
      </c>
      <c r="G54" s="27"/>
      <c r="H54" s="23">
        <v>1</v>
      </c>
      <c r="I54" s="27"/>
      <c r="J54" s="27"/>
      <c r="K54" s="27"/>
      <c r="L54" s="20"/>
      <c r="M54" s="20"/>
      <c r="N54" s="21"/>
    </row>
    <row r="55" spans="1:15" ht="18.5" x14ac:dyDescent="0.35">
      <c r="A55" s="293">
        <f>A53+1</f>
        <v>35</v>
      </c>
      <c r="B55" s="92" t="s">
        <v>221</v>
      </c>
      <c r="C55" s="92" t="s">
        <v>296</v>
      </c>
      <c r="D55" s="95">
        <v>1</v>
      </c>
      <c r="E55" s="93">
        <v>1</v>
      </c>
      <c r="F55" s="95">
        <v>1</v>
      </c>
      <c r="G55" s="94"/>
      <c r="H55" s="95">
        <v>1</v>
      </c>
      <c r="I55" s="3">
        <v>1</v>
      </c>
      <c r="J55" s="3">
        <v>1</v>
      </c>
      <c r="K55" s="94"/>
      <c r="L55" s="84"/>
      <c r="M55" s="84"/>
      <c r="N55" s="85"/>
    </row>
    <row r="56" spans="1:15" ht="19" thickBot="1" x14ac:dyDescent="0.4">
      <c r="A56" s="294"/>
      <c r="B56" s="96" t="s">
        <v>221</v>
      </c>
      <c r="C56" s="96" t="s">
        <v>362</v>
      </c>
      <c r="D56" s="87"/>
      <c r="E56" s="97">
        <v>1</v>
      </c>
      <c r="F56" s="88">
        <v>1</v>
      </c>
      <c r="G56" s="87"/>
      <c r="H56" s="88">
        <v>1</v>
      </c>
      <c r="I56" s="169"/>
      <c r="J56" s="169"/>
      <c r="K56" s="87"/>
      <c r="L56" s="89"/>
      <c r="M56" s="89"/>
      <c r="N56" s="90"/>
    </row>
    <row r="57" spans="1:15" ht="19" thickBot="1" x14ac:dyDescent="0.4">
      <c r="A57" s="157">
        <f>A55+1</f>
        <v>36</v>
      </c>
      <c r="B57" s="91" t="s">
        <v>221</v>
      </c>
      <c r="C57" s="91" t="s">
        <v>222</v>
      </c>
      <c r="D57" s="67"/>
      <c r="E57" s="59">
        <v>1</v>
      </c>
      <c r="F57" s="67"/>
      <c r="G57" s="67"/>
      <c r="H57" s="87"/>
      <c r="I57" s="88">
        <v>1</v>
      </c>
      <c r="J57" s="67"/>
      <c r="K57" s="98"/>
      <c r="L57" s="60"/>
      <c r="M57" s="60"/>
      <c r="N57" s="77"/>
    </row>
    <row r="58" spans="1:15" ht="19" thickBot="1" x14ac:dyDescent="0.4">
      <c r="A58" s="144">
        <f t="shared" si="0"/>
        <v>37</v>
      </c>
      <c r="B58" s="145" t="s">
        <v>223</v>
      </c>
      <c r="C58" s="145" t="s">
        <v>224</v>
      </c>
      <c r="D58" s="151"/>
      <c r="E58" s="151"/>
      <c r="F58" s="151"/>
      <c r="G58" s="151"/>
      <c r="H58" s="87"/>
      <c r="I58" s="151"/>
      <c r="J58" s="151"/>
      <c r="K58" s="151"/>
      <c r="L58" s="149"/>
      <c r="M58" s="149"/>
      <c r="N58" s="150"/>
      <c r="O58" t="s">
        <v>374</v>
      </c>
    </row>
    <row r="59" spans="1:15" ht="19" thickBot="1" x14ac:dyDescent="0.4">
      <c r="A59" s="157">
        <f t="shared" si="0"/>
        <v>38</v>
      </c>
      <c r="B59" s="91" t="s">
        <v>225</v>
      </c>
      <c r="C59" s="91" t="s">
        <v>226</v>
      </c>
      <c r="D59" s="67"/>
      <c r="E59" s="67"/>
      <c r="F59" s="67"/>
      <c r="G59" s="67"/>
      <c r="H59" s="87"/>
      <c r="I59" s="67"/>
      <c r="J59" s="67"/>
      <c r="K59" s="67"/>
      <c r="L59" s="60"/>
      <c r="M59" s="60"/>
      <c r="N59" s="77"/>
      <c r="O59" t="s">
        <v>374</v>
      </c>
    </row>
    <row r="60" spans="1:15" ht="19" thickBot="1" x14ac:dyDescent="0.4">
      <c r="A60" s="293">
        <f t="shared" si="0"/>
        <v>39</v>
      </c>
      <c r="B60" s="92" t="s">
        <v>227</v>
      </c>
      <c r="C60" s="92" t="s">
        <v>291</v>
      </c>
      <c r="D60" s="94"/>
      <c r="E60" s="93">
        <v>1</v>
      </c>
      <c r="F60" s="94"/>
      <c r="G60" s="93">
        <v>1</v>
      </c>
      <c r="H60" s="95">
        <v>1</v>
      </c>
      <c r="I60" s="88">
        <v>1</v>
      </c>
      <c r="J60" s="88">
        <v>1</v>
      </c>
      <c r="K60" s="93">
        <v>1</v>
      </c>
      <c r="L60" s="84"/>
      <c r="M60" s="84"/>
      <c r="N60" s="85"/>
    </row>
    <row r="61" spans="1:15" ht="19" thickBot="1" x14ac:dyDescent="0.4">
      <c r="A61" s="294"/>
      <c r="B61" s="96" t="s">
        <v>227</v>
      </c>
      <c r="C61" s="96" t="s">
        <v>269</v>
      </c>
      <c r="D61" s="87"/>
      <c r="E61" s="97">
        <v>1</v>
      </c>
      <c r="F61" s="87"/>
      <c r="G61" s="97">
        <v>1</v>
      </c>
      <c r="H61" s="88">
        <v>1</v>
      </c>
      <c r="I61" s="88">
        <v>1</v>
      </c>
      <c r="J61" s="88">
        <v>1</v>
      </c>
      <c r="K61" s="59">
        <v>1</v>
      </c>
      <c r="L61" s="89"/>
      <c r="M61" s="89"/>
      <c r="N61" s="90"/>
    </row>
    <row r="62" spans="1:15" ht="19" thickBot="1" x14ac:dyDescent="0.4">
      <c r="A62" s="157">
        <f>A60+1</f>
        <v>40</v>
      </c>
      <c r="B62" s="91" t="s">
        <v>228</v>
      </c>
      <c r="C62" s="91" t="s">
        <v>229</v>
      </c>
      <c r="D62" s="67"/>
      <c r="E62" s="67"/>
      <c r="F62" s="67"/>
      <c r="G62" s="67"/>
      <c r="H62" s="87"/>
      <c r="I62" s="67"/>
      <c r="J62" s="67"/>
      <c r="K62" s="67"/>
      <c r="L62" s="60"/>
      <c r="M62" s="60"/>
      <c r="N62" s="77"/>
      <c r="O62" t="s">
        <v>374</v>
      </c>
    </row>
    <row r="63" spans="1:15" ht="19" thickBot="1" x14ac:dyDescent="0.4">
      <c r="A63" s="144">
        <f t="shared" si="0"/>
        <v>41</v>
      </c>
      <c r="B63" s="145" t="s">
        <v>230</v>
      </c>
      <c r="C63" s="145" t="s">
        <v>231</v>
      </c>
      <c r="D63" s="151"/>
      <c r="E63" s="151"/>
      <c r="F63" s="148">
        <v>1</v>
      </c>
      <c r="G63" s="147">
        <v>1</v>
      </c>
      <c r="H63" s="148">
        <v>1</v>
      </c>
      <c r="I63" s="151"/>
      <c r="J63" s="151"/>
      <c r="K63" s="151"/>
      <c r="L63" s="149"/>
      <c r="M63" s="149"/>
      <c r="N63" s="150"/>
    </row>
    <row r="64" spans="1:15" ht="18.5" x14ac:dyDescent="0.35">
      <c r="A64" s="297">
        <f>A63+1</f>
        <v>42</v>
      </c>
      <c r="B64" s="81" t="s">
        <v>232</v>
      </c>
      <c r="C64" s="81" t="s">
        <v>235</v>
      </c>
      <c r="D64" s="108">
        <v>1</v>
      </c>
      <c r="E64" s="142"/>
      <c r="F64" s="142"/>
      <c r="G64" s="108">
        <v>1</v>
      </c>
      <c r="H64" s="142"/>
      <c r="I64" s="142"/>
      <c r="J64" s="95">
        <v>1</v>
      </c>
      <c r="K64" s="82"/>
      <c r="L64" s="80"/>
      <c r="M64" s="80"/>
      <c r="N64" s="112"/>
    </row>
    <row r="65" spans="1:15" ht="19" thickBot="1" x14ac:dyDescent="0.4">
      <c r="A65" s="298"/>
      <c r="B65" s="172" t="s">
        <v>232</v>
      </c>
      <c r="C65" s="172" t="s">
        <v>270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173"/>
    </row>
    <row r="66" spans="1:15" ht="19" thickBot="1" x14ac:dyDescent="0.4">
      <c r="A66" s="144">
        <f>A64+1</f>
        <v>43</v>
      </c>
      <c r="B66" s="145" t="s">
        <v>312</v>
      </c>
      <c r="C66" s="145" t="s">
        <v>233</v>
      </c>
      <c r="D66" s="151"/>
      <c r="E66" s="148">
        <v>1</v>
      </c>
      <c r="F66" s="148">
        <v>1</v>
      </c>
      <c r="G66" s="151"/>
      <c r="H66" s="148">
        <v>1</v>
      </c>
      <c r="I66" s="151"/>
      <c r="J66" s="148">
        <v>1</v>
      </c>
      <c r="K66" s="58">
        <v>1</v>
      </c>
      <c r="L66" s="149"/>
      <c r="M66" s="149"/>
      <c r="N66" s="150"/>
    </row>
    <row r="67" spans="1:15" ht="19" thickBot="1" x14ac:dyDescent="0.4">
      <c r="A67" s="157">
        <f t="shared" si="0"/>
        <v>44</v>
      </c>
      <c r="B67" s="91" t="s">
        <v>234</v>
      </c>
      <c r="C67" s="91" t="s">
        <v>305</v>
      </c>
      <c r="D67" s="59">
        <v>1</v>
      </c>
      <c r="E67" s="67"/>
      <c r="F67" s="58">
        <v>1</v>
      </c>
      <c r="G67" s="67"/>
      <c r="H67" s="58">
        <v>1</v>
      </c>
      <c r="I67" s="88">
        <v>1</v>
      </c>
      <c r="J67" s="93">
        <v>1</v>
      </c>
      <c r="K67" s="67"/>
      <c r="L67" s="60"/>
      <c r="M67" s="60"/>
      <c r="N67" s="77"/>
    </row>
    <row r="68" spans="1:15" ht="18.5" x14ac:dyDescent="0.35">
      <c r="A68" s="295">
        <f>A67+1</f>
        <v>45</v>
      </c>
      <c r="B68" s="102" t="s">
        <v>238</v>
      </c>
      <c r="C68" s="102" t="s">
        <v>302</v>
      </c>
      <c r="D68" s="95">
        <v>1</v>
      </c>
      <c r="E68" s="93">
        <v>1</v>
      </c>
      <c r="F68" s="95">
        <v>1</v>
      </c>
      <c r="G68" s="94"/>
      <c r="H68" s="95">
        <v>1</v>
      </c>
      <c r="I68" s="95">
        <v>1</v>
      </c>
      <c r="J68" s="95">
        <v>1</v>
      </c>
      <c r="K68" s="94"/>
      <c r="L68" s="99"/>
      <c r="M68" s="99"/>
      <c r="N68" s="103"/>
    </row>
    <row r="69" spans="1:15" ht="19" thickBot="1" x14ac:dyDescent="0.4">
      <c r="A69" s="296"/>
      <c r="B69" s="104" t="s">
        <v>238</v>
      </c>
      <c r="C69" s="104" t="s">
        <v>271</v>
      </c>
      <c r="D69" s="88">
        <v>1</v>
      </c>
      <c r="E69" s="97">
        <v>1</v>
      </c>
      <c r="F69" s="88">
        <v>1</v>
      </c>
      <c r="G69" s="88">
        <v>1</v>
      </c>
      <c r="H69" s="88">
        <v>1</v>
      </c>
      <c r="I69" s="108">
        <v>1</v>
      </c>
      <c r="J69" s="108">
        <v>1</v>
      </c>
      <c r="K69" s="58">
        <v>1</v>
      </c>
      <c r="L69" s="8"/>
      <c r="M69" s="8"/>
      <c r="N69" s="9"/>
    </row>
    <row r="70" spans="1:15" ht="19" thickBot="1" x14ac:dyDescent="0.4">
      <c r="A70" s="301">
        <f>A68+1</f>
        <v>46</v>
      </c>
      <c r="B70" s="110" t="s">
        <v>239</v>
      </c>
      <c r="C70" s="110" t="s">
        <v>292</v>
      </c>
      <c r="D70" s="142"/>
      <c r="E70" s="107">
        <v>1</v>
      </c>
      <c r="F70" s="108">
        <v>1</v>
      </c>
      <c r="G70" s="107">
        <v>1</v>
      </c>
      <c r="H70" s="87"/>
      <c r="I70" s="95">
        <v>1</v>
      </c>
      <c r="J70" s="93">
        <v>1</v>
      </c>
      <c r="K70" s="107">
        <v>1</v>
      </c>
      <c r="L70" s="109"/>
      <c r="M70" s="109"/>
      <c r="N70" s="114"/>
    </row>
    <row r="71" spans="1:15" ht="19" thickBot="1" x14ac:dyDescent="0.4">
      <c r="A71" s="302"/>
      <c r="B71" s="101" t="s">
        <v>239</v>
      </c>
      <c r="C71" s="101" t="s">
        <v>272</v>
      </c>
      <c r="D71" s="27"/>
      <c r="E71" s="27"/>
      <c r="F71" s="23">
        <v>1</v>
      </c>
      <c r="G71" s="24">
        <v>1</v>
      </c>
      <c r="H71" s="87"/>
      <c r="I71" s="95">
        <v>1</v>
      </c>
      <c r="J71" s="93">
        <v>1</v>
      </c>
      <c r="K71" s="24">
        <v>1</v>
      </c>
      <c r="L71" s="100"/>
      <c r="M71" s="100"/>
      <c r="N71" s="113"/>
    </row>
    <row r="72" spans="1:15" ht="19" thickBot="1" x14ac:dyDescent="0.4">
      <c r="A72" s="152">
        <f>A70+1</f>
        <v>47</v>
      </c>
      <c r="B72" s="153" t="s">
        <v>240</v>
      </c>
      <c r="C72" s="153" t="s">
        <v>310</v>
      </c>
      <c r="D72" s="151"/>
      <c r="E72" s="151"/>
      <c r="F72" s="151"/>
      <c r="G72" s="151"/>
      <c r="H72" s="87"/>
      <c r="I72" s="151"/>
      <c r="J72" s="151"/>
      <c r="K72" s="151"/>
      <c r="L72" s="49"/>
      <c r="M72" s="49"/>
      <c r="N72" s="154"/>
      <c r="O72" t="s">
        <v>374</v>
      </c>
    </row>
    <row r="73" spans="1:15" ht="19" thickBot="1" x14ac:dyDescent="0.4">
      <c r="A73" s="158">
        <f t="shared" si="0"/>
        <v>48</v>
      </c>
      <c r="B73" s="117" t="s">
        <v>241</v>
      </c>
      <c r="C73" s="117" t="s">
        <v>242</v>
      </c>
      <c r="D73" s="67"/>
      <c r="E73" s="67"/>
      <c r="F73" s="67"/>
      <c r="G73" s="67"/>
      <c r="H73" s="87"/>
      <c r="I73" s="95">
        <v>1</v>
      </c>
      <c r="J73" s="67"/>
      <c r="K73" s="67"/>
      <c r="L73" s="118"/>
      <c r="M73" s="118"/>
      <c r="N73" s="119"/>
    </row>
    <row r="74" spans="1:15" ht="19" thickBot="1" x14ac:dyDescent="0.4">
      <c r="A74" s="152">
        <f t="shared" ref="A74:A89" si="1">A73+1</f>
        <v>49</v>
      </c>
      <c r="B74" s="153" t="s">
        <v>243</v>
      </c>
      <c r="C74" s="153" t="s">
        <v>244</v>
      </c>
      <c r="D74" s="151"/>
      <c r="E74" s="148">
        <v>1</v>
      </c>
      <c r="F74" s="148">
        <v>1</v>
      </c>
      <c r="G74" s="148">
        <v>1</v>
      </c>
      <c r="H74" s="148">
        <v>1</v>
      </c>
      <c r="I74" s="151"/>
      <c r="J74" s="151"/>
      <c r="K74" s="151"/>
      <c r="L74" s="49"/>
      <c r="M74" s="49"/>
      <c r="N74" s="154"/>
    </row>
    <row r="75" spans="1:15" ht="19" thickBot="1" x14ac:dyDescent="0.4">
      <c r="A75" s="158">
        <f t="shared" si="1"/>
        <v>50</v>
      </c>
      <c r="B75" s="117" t="s">
        <v>245</v>
      </c>
      <c r="C75" s="117" t="s">
        <v>246</v>
      </c>
      <c r="D75" s="67"/>
      <c r="E75" s="67"/>
      <c r="F75" s="67"/>
      <c r="G75" s="67"/>
      <c r="H75" s="87"/>
      <c r="I75" s="95">
        <v>1</v>
      </c>
      <c r="J75" s="67"/>
      <c r="K75" s="67"/>
      <c r="L75" s="118"/>
      <c r="M75" s="118"/>
      <c r="N75" s="119"/>
    </row>
    <row r="76" spans="1:15" ht="18.5" x14ac:dyDescent="0.35">
      <c r="A76" s="295">
        <f t="shared" si="1"/>
        <v>51</v>
      </c>
      <c r="B76" s="102" t="s">
        <v>247</v>
      </c>
      <c r="C76" s="102" t="s">
        <v>224</v>
      </c>
      <c r="D76" s="94"/>
      <c r="E76" s="94"/>
      <c r="F76" s="94"/>
      <c r="G76" s="94"/>
      <c r="H76" s="95">
        <v>1</v>
      </c>
      <c r="I76" s="94"/>
      <c r="J76" s="95">
        <v>1</v>
      </c>
      <c r="K76" s="94"/>
      <c r="L76" s="99"/>
      <c r="M76" s="99"/>
      <c r="N76" s="103"/>
    </row>
    <row r="77" spans="1:15" ht="19" thickBot="1" x14ac:dyDescent="0.4">
      <c r="A77" s="296"/>
      <c r="B77" s="104" t="s">
        <v>247</v>
      </c>
      <c r="C77" s="104" t="s">
        <v>308</v>
      </c>
      <c r="D77" s="87"/>
      <c r="E77" s="87"/>
      <c r="F77" s="87"/>
      <c r="G77" s="87"/>
      <c r="H77" s="87"/>
      <c r="I77" s="87"/>
      <c r="J77" s="87"/>
      <c r="K77" s="87"/>
      <c r="L77" s="8"/>
      <c r="M77" s="8"/>
      <c r="N77" s="9"/>
      <c r="O77" t="s">
        <v>374</v>
      </c>
    </row>
    <row r="78" spans="1:15" ht="19" thickBot="1" x14ac:dyDescent="0.4">
      <c r="A78" s="158">
        <f>A76+1</f>
        <v>52</v>
      </c>
      <c r="B78" s="117" t="s">
        <v>248</v>
      </c>
      <c r="C78" s="117" t="s">
        <v>249</v>
      </c>
      <c r="D78" s="58">
        <v>1</v>
      </c>
      <c r="E78" s="67"/>
      <c r="F78" s="58">
        <v>1</v>
      </c>
      <c r="G78" s="67"/>
      <c r="H78" s="87"/>
      <c r="I78" s="88">
        <v>1</v>
      </c>
      <c r="J78" s="67"/>
      <c r="K78" s="107">
        <v>1</v>
      </c>
      <c r="L78" s="118"/>
      <c r="M78" s="118"/>
      <c r="N78" s="119"/>
    </row>
    <row r="79" spans="1:15" ht="19" thickBot="1" x14ac:dyDescent="0.4">
      <c r="A79" s="152">
        <f t="shared" si="1"/>
        <v>53</v>
      </c>
      <c r="B79" s="153" t="s">
        <v>248</v>
      </c>
      <c r="C79" s="153" t="s">
        <v>306</v>
      </c>
      <c r="D79" s="151"/>
      <c r="E79" s="151"/>
      <c r="F79" s="151"/>
      <c r="G79" s="151"/>
      <c r="H79" s="148">
        <v>1</v>
      </c>
      <c r="I79" s="151"/>
      <c r="J79" s="151"/>
      <c r="K79" s="151"/>
      <c r="L79" s="49"/>
      <c r="M79" s="49"/>
      <c r="N79" s="154"/>
    </row>
    <row r="80" spans="1:15" ht="19" thickBot="1" x14ac:dyDescent="0.4">
      <c r="A80" s="301">
        <f t="shared" si="1"/>
        <v>54</v>
      </c>
      <c r="B80" s="110" t="s">
        <v>295</v>
      </c>
      <c r="C80" s="110" t="s">
        <v>293</v>
      </c>
      <c r="D80" s="107">
        <v>1</v>
      </c>
      <c r="E80" s="107">
        <v>1</v>
      </c>
      <c r="F80" s="82"/>
      <c r="G80" s="107">
        <v>1</v>
      </c>
      <c r="H80" s="87"/>
      <c r="I80" s="95">
        <v>1</v>
      </c>
      <c r="J80" s="95">
        <v>1</v>
      </c>
      <c r="K80" s="82"/>
      <c r="L80" s="109"/>
      <c r="M80" s="109"/>
      <c r="N80" s="114"/>
    </row>
    <row r="81" spans="1:15" ht="19" thickBot="1" x14ac:dyDescent="0.4">
      <c r="A81" s="302"/>
      <c r="B81" s="101" t="s">
        <v>295</v>
      </c>
      <c r="C81" s="101" t="s">
        <v>273</v>
      </c>
      <c r="D81" s="24">
        <v>1</v>
      </c>
      <c r="E81" s="24">
        <v>1</v>
      </c>
      <c r="F81" s="27"/>
      <c r="G81" s="24">
        <v>1</v>
      </c>
      <c r="H81" s="23">
        <v>1</v>
      </c>
      <c r="I81" s="95">
        <v>1</v>
      </c>
      <c r="J81" s="95">
        <v>1</v>
      </c>
      <c r="K81" s="27"/>
      <c r="L81" s="20"/>
      <c r="M81" s="20"/>
      <c r="N81" s="21"/>
    </row>
    <row r="82" spans="1:15" ht="19" thickBot="1" x14ac:dyDescent="0.4">
      <c r="A82" s="152">
        <f>A80+1</f>
        <v>55</v>
      </c>
      <c r="B82" s="153" t="s">
        <v>250</v>
      </c>
      <c r="C82" s="153" t="s">
        <v>251</v>
      </c>
      <c r="D82" s="151"/>
      <c r="E82" s="148">
        <v>1</v>
      </c>
      <c r="F82" s="151"/>
      <c r="G82" s="148">
        <v>1</v>
      </c>
      <c r="H82" s="148">
        <v>1</v>
      </c>
      <c r="I82" s="148">
        <v>1</v>
      </c>
      <c r="J82" s="148">
        <v>1</v>
      </c>
      <c r="K82" s="151"/>
      <c r="L82" s="49"/>
      <c r="M82" s="49"/>
      <c r="N82" s="154"/>
    </row>
    <row r="83" spans="1:15" ht="19" thickBot="1" x14ac:dyDescent="0.4">
      <c r="A83" s="301">
        <f>A82+1</f>
        <v>56</v>
      </c>
      <c r="B83" s="110" t="s">
        <v>252</v>
      </c>
      <c r="C83" s="110" t="s">
        <v>294</v>
      </c>
      <c r="D83" s="82"/>
      <c r="E83" s="82"/>
      <c r="F83" s="108">
        <v>1</v>
      </c>
      <c r="G83" s="82"/>
      <c r="H83" s="88">
        <v>1</v>
      </c>
      <c r="I83" s="82"/>
      <c r="J83" s="88">
        <v>1</v>
      </c>
      <c r="K83" s="82"/>
      <c r="L83" s="80"/>
      <c r="M83" s="80"/>
      <c r="N83" s="112"/>
    </row>
    <row r="84" spans="1:15" ht="19" thickBot="1" x14ac:dyDescent="0.4">
      <c r="A84" s="302"/>
      <c r="B84" s="101" t="s">
        <v>252</v>
      </c>
      <c r="C84" s="101" t="s">
        <v>274</v>
      </c>
      <c r="D84" s="27"/>
      <c r="E84" s="27"/>
      <c r="F84" s="23">
        <v>1</v>
      </c>
      <c r="G84" s="23">
        <v>1</v>
      </c>
      <c r="H84" s="87"/>
      <c r="I84" s="27"/>
      <c r="J84" s="23">
        <v>1</v>
      </c>
      <c r="K84" s="27"/>
      <c r="L84" s="20"/>
      <c r="M84" s="20"/>
      <c r="N84" s="21"/>
    </row>
    <row r="85" spans="1:15" ht="19" thickBot="1" x14ac:dyDescent="0.4">
      <c r="A85" s="295">
        <f>A83+1</f>
        <v>57</v>
      </c>
      <c r="B85" s="102" t="s">
        <v>253</v>
      </c>
      <c r="C85" s="102" t="s">
        <v>205</v>
      </c>
      <c r="D85" s="94"/>
      <c r="E85" s="94"/>
      <c r="F85" s="94"/>
      <c r="G85" s="94"/>
      <c r="H85" s="87"/>
      <c r="I85" s="88">
        <v>1</v>
      </c>
      <c r="J85" s="94"/>
      <c r="K85" s="94"/>
      <c r="L85" s="84"/>
      <c r="M85" s="84"/>
      <c r="N85" s="85"/>
    </row>
    <row r="86" spans="1:15" ht="19" thickBot="1" x14ac:dyDescent="0.4">
      <c r="A86" s="296"/>
      <c r="B86" s="104" t="s">
        <v>253</v>
      </c>
      <c r="C86" s="104" t="s">
        <v>275</v>
      </c>
      <c r="D86" s="87"/>
      <c r="E86" s="97">
        <v>1</v>
      </c>
      <c r="F86" s="88">
        <v>1</v>
      </c>
      <c r="G86" s="97">
        <v>1</v>
      </c>
      <c r="H86" s="88">
        <v>1</v>
      </c>
      <c r="I86" s="88">
        <v>1</v>
      </c>
      <c r="J86" s="88">
        <v>1</v>
      </c>
      <c r="K86" s="97">
        <v>1</v>
      </c>
      <c r="L86" s="89"/>
      <c r="M86" s="89"/>
      <c r="N86" s="90"/>
    </row>
    <row r="87" spans="1:15" ht="19" thickBot="1" x14ac:dyDescent="0.4">
      <c r="A87" s="159">
        <f>A85+1</f>
        <v>58</v>
      </c>
      <c r="B87" s="110" t="s">
        <v>254</v>
      </c>
      <c r="C87" s="110" t="s">
        <v>255</v>
      </c>
      <c r="D87" s="82"/>
      <c r="E87" s="107">
        <v>1</v>
      </c>
      <c r="F87" s="82"/>
      <c r="G87" s="107">
        <v>1</v>
      </c>
      <c r="H87" s="142"/>
      <c r="I87" s="88">
        <v>1</v>
      </c>
      <c r="J87" s="82"/>
      <c r="K87" s="93">
        <v>1</v>
      </c>
      <c r="L87" s="80"/>
      <c r="M87" s="80"/>
      <c r="N87" s="112"/>
    </row>
    <row r="88" spans="1:15" ht="19" thickBot="1" x14ac:dyDescent="0.4">
      <c r="A88" s="156">
        <f t="shared" si="1"/>
        <v>59</v>
      </c>
      <c r="B88" s="79" t="s">
        <v>256</v>
      </c>
      <c r="C88" s="79" t="s">
        <v>257</v>
      </c>
      <c r="D88" s="27"/>
      <c r="E88" s="24">
        <v>1</v>
      </c>
      <c r="F88" s="23">
        <v>1</v>
      </c>
      <c r="G88" s="24">
        <v>1</v>
      </c>
      <c r="H88" s="23">
        <v>1</v>
      </c>
      <c r="I88" s="27"/>
      <c r="J88" s="24">
        <v>1</v>
      </c>
      <c r="K88" s="107">
        <v>1</v>
      </c>
      <c r="L88" s="20"/>
      <c r="M88" s="20"/>
      <c r="N88" s="21"/>
    </row>
    <row r="89" spans="1:15" ht="19" thickBot="1" x14ac:dyDescent="0.4">
      <c r="A89" s="293">
        <f t="shared" si="1"/>
        <v>60</v>
      </c>
      <c r="B89" s="92" t="s">
        <v>258</v>
      </c>
      <c r="C89" s="92" t="s">
        <v>276</v>
      </c>
      <c r="D89" s="94"/>
      <c r="E89" s="94"/>
      <c r="F89" s="94"/>
      <c r="G89" s="94"/>
      <c r="H89" s="87"/>
      <c r="I89" s="94"/>
      <c r="J89" s="94"/>
      <c r="K89" s="94"/>
      <c r="L89" s="99"/>
      <c r="M89" s="99"/>
      <c r="N89" s="103"/>
      <c r="O89" t="s">
        <v>374</v>
      </c>
    </row>
    <row r="90" spans="1:15" ht="19" thickBot="1" x14ac:dyDescent="0.4">
      <c r="A90" s="294"/>
      <c r="B90" s="96" t="s">
        <v>258</v>
      </c>
      <c r="C90" s="96" t="s">
        <v>297</v>
      </c>
      <c r="D90" s="88">
        <v>1</v>
      </c>
      <c r="E90" s="87"/>
      <c r="F90" s="87"/>
      <c r="G90" s="97">
        <v>1</v>
      </c>
      <c r="H90" s="88">
        <v>1</v>
      </c>
      <c r="I90" s="88">
        <v>1</v>
      </c>
      <c r="J90" s="88">
        <v>1</v>
      </c>
      <c r="K90" s="87"/>
      <c r="L90" s="8"/>
      <c r="M90" s="8"/>
      <c r="N90" s="9"/>
    </row>
    <row r="91" spans="1:15" ht="16" thickBot="1" x14ac:dyDescent="0.4">
      <c r="A91" s="121"/>
      <c r="B91" s="53"/>
      <c r="C91" s="54"/>
      <c r="D91" s="56"/>
      <c r="E91" s="61"/>
      <c r="F91" s="61"/>
      <c r="G91" s="55"/>
      <c r="H91" s="55"/>
      <c r="I91" s="60"/>
      <c r="J91" s="55"/>
      <c r="K91" s="64"/>
      <c r="L91" s="64"/>
      <c r="M91" s="74"/>
      <c r="N91" s="57" t="s">
        <v>126</v>
      </c>
    </row>
    <row r="92" spans="1:15" ht="15" thickBot="1" x14ac:dyDescent="0.4">
      <c r="A92" s="122"/>
      <c r="B92" s="289" t="s">
        <v>350</v>
      </c>
      <c r="C92" s="290"/>
      <c r="D92" s="49">
        <f t="shared" ref="D92:K92" si="2">SUM(D2:D91)</f>
        <v>29</v>
      </c>
      <c r="E92" s="49">
        <f t="shared" si="2"/>
        <v>39</v>
      </c>
      <c r="F92" s="49">
        <f t="shared" si="2"/>
        <v>46</v>
      </c>
      <c r="G92" s="49">
        <f t="shared" si="2"/>
        <v>33</v>
      </c>
      <c r="H92" s="49">
        <f t="shared" si="2"/>
        <v>42</v>
      </c>
      <c r="I92" s="49">
        <f t="shared" si="2"/>
        <v>35</v>
      </c>
      <c r="J92" s="49">
        <f t="shared" si="2"/>
        <v>41</v>
      </c>
      <c r="K92" s="49">
        <f t="shared" si="2"/>
        <v>32</v>
      </c>
      <c r="L92" s="49"/>
      <c r="M92" s="65"/>
      <c r="N92" s="50">
        <f>AVERAGE(D92:J92)</f>
        <v>37.857142857142854</v>
      </c>
    </row>
    <row r="94" spans="1:15" ht="18.5" thickBot="1" x14ac:dyDescent="0.45">
      <c r="B94" s="127" t="s">
        <v>314</v>
      </c>
    </row>
    <row r="95" spans="1:15" ht="15.5" x14ac:dyDescent="0.35">
      <c r="B95" s="128" t="s">
        <v>316</v>
      </c>
      <c r="C95" s="129" t="s">
        <v>315</v>
      </c>
      <c r="D95" s="130">
        <v>1</v>
      </c>
      <c r="E95" s="131"/>
      <c r="F95" s="131"/>
      <c r="G95" s="131"/>
      <c r="H95" s="131"/>
      <c r="I95" s="130">
        <v>1</v>
      </c>
      <c r="J95" s="130"/>
      <c r="K95" s="130"/>
      <c r="L95" s="130"/>
      <c r="M95" s="130"/>
      <c r="N95" s="132"/>
    </row>
    <row r="96" spans="1:15" ht="15.5" x14ac:dyDescent="0.35">
      <c r="B96" s="133" t="s">
        <v>318</v>
      </c>
      <c r="C96" s="124" t="s">
        <v>317</v>
      </c>
      <c r="D96" s="125">
        <v>1</v>
      </c>
      <c r="E96" s="126"/>
      <c r="F96" s="126"/>
      <c r="G96" s="126"/>
      <c r="H96" s="126"/>
      <c r="I96" s="125"/>
      <c r="J96" s="125"/>
      <c r="K96" s="125"/>
      <c r="L96" s="125"/>
      <c r="M96" s="125"/>
      <c r="N96" s="134"/>
    </row>
    <row r="97" spans="2:20" ht="15.5" x14ac:dyDescent="0.35">
      <c r="B97" s="133" t="s">
        <v>320</v>
      </c>
      <c r="C97" s="124" t="s">
        <v>319</v>
      </c>
      <c r="D97" s="125">
        <v>1</v>
      </c>
      <c r="E97" s="126"/>
      <c r="F97" s="126"/>
      <c r="G97" s="125">
        <v>1</v>
      </c>
      <c r="H97" s="125"/>
      <c r="I97" s="125"/>
      <c r="J97" s="125"/>
      <c r="K97" s="125"/>
      <c r="L97" s="125"/>
      <c r="M97" s="125"/>
      <c r="N97" s="134"/>
    </row>
    <row r="98" spans="2:20" x14ac:dyDescent="0.35">
      <c r="B98" s="133" t="s">
        <v>236</v>
      </c>
      <c r="C98" s="125" t="s">
        <v>237</v>
      </c>
      <c r="D98" s="126"/>
      <c r="E98" s="126"/>
      <c r="F98" s="126"/>
      <c r="G98" s="126"/>
      <c r="H98" s="125">
        <v>1</v>
      </c>
      <c r="I98" s="125"/>
      <c r="J98" s="125"/>
      <c r="K98" s="125"/>
      <c r="L98" s="125"/>
      <c r="M98" s="125"/>
      <c r="N98" s="134"/>
    </row>
    <row r="99" spans="2:20" x14ac:dyDescent="0.35">
      <c r="B99" s="133" t="s">
        <v>236</v>
      </c>
      <c r="C99" s="125" t="s">
        <v>331</v>
      </c>
      <c r="D99" s="126"/>
      <c r="E99" s="126"/>
      <c r="F99" s="126"/>
      <c r="G99" s="126"/>
      <c r="H99" s="125">
        <v>1</v>
      </c>
      <c r="I99" s="125"/>
      <c r="J99" s="125"/>
      <c r="K99" s="125"/>
      <c r="L99" s="125"/>
      <c r="M99" s="125"/>
      <c r="N99" s="134"/>
    </row>
    <row r="100" spans="2:20" x14ac:dyDescent="0.35">
      <c r="B100" s="133" t="s">
        <v>332</v>
      </c>
      <c r="C100" s="125" t="s">
        <v>324</v>
      </c>
      <c r="D100" s="126"/>
      <c r="E100" s="126"/>
      <c r="F100" s="125">
        <v>1</v>
      </c>
      <c r="G100" s="125"/>
      <c r="H100" s="125"/>
      <c r="I100" s="125"/>
      <c r="J100" s="125">
        <v>1</v>
      </c>
      <c r="K100" s="125"/>
      <c r="L100" s="125"/>
      <c r="M100" s="125"/>
      <c r="N100" s="134"/>
    </row>
    <row r="101" spans="2:20" x14ac:dyDescent="0.35">
      <c r="B101" s="133" t="s">
        <v>326</v>
      </c>
      <c r="C101" s="125" t="s">
        <v>325</v>
      </c>
      <c r="D101" s="126"/>
      <c r="E101" s="126"/>
      <c r="F101" s="126"/>
      <c r="G101" s="125">
        <v>1</v>
      </c>
      <c r="H101" s="125"/>
      <c r="I101" s="125"/>
      <c r="J101" s="125"/>
      <c r="K101" s="125"/>
      <c r="L101" s="125"/>
      <c r="M101" s="125"/>
      <c r="N101" s="134"/>
    </row>
    <row r="102" spans="2:20" x14ac:dyDescent="0.35">
      <c r="B102" s="133" t="s">
        <v>327</v>
      </c>
      <c r="C102" s="125" t="s">
        <v>231</v>
      </c>
      <c r="D102" s="126"/>
      <c r="E102" s="126"/>
      <c r="F102" s="126"/>
      <c r="G102" s="125">
        <v>1</v>
      </c>
      <c r="H102" s="125"/>
      <c r="I102" s="125"/>
      <c r="J102" s="125"/>
      <c r="K102" s="125"/>
      <c r="L102" s="125"/>
      <c r="M102" s="125"/>
      <c r="N102" s="134"/>
    </row>
    <row r="103" spans="2:20" x14ac:dyDescent="0.35">
      <c r="B103" s="133" t="s">
        <v>333</v>
      </c>
      <c r="C103" s="125" t="s">
        <v>334</v>
      </c>
      <c r="D103" s="126"/>
      <c r="E103" s="126"/>
      <c r="F103" s="126"/>
      <c r="G103" s="126"/>
      <c r="H103" s="125">
        <v>1</v>
      </c>
      <c r="I103" s="125"/>
      <c r="J103" s="125"/>
      <c r="K103" s="125"/>
      <c r="L103" s="125"/>
      <c r="M103" s="125"/>
      <c r="N103" s="134"/>
      <c r="S103" s="31" t="s">
        <v>335</v>
      </c>
    </row>
    <row r="104" spans="2:20" x14ac:dyDescent="0.35">
      <c r="B104" s="133" t="s">
        <v>336</v>
      </c>
      <c r="C104" s="125" t="s">
        <v>337</v>
      </c>
      <c r="D104" s="126"/>
      <c r="E104" s="126"/>
      <c r="F104" s="126"/>
      <c r="G104" s="126"/>
      <c r="H104" s="125">
        <v>1</v>
      </c>
      <c r="I104" s="125"/>
      <c r="J104" s="125"/>
      <c r="K104" s="125"/>
      <c r="L104" s="125"/>
      <c r="M104" s="125"/>
      <c r="N104" s="134"/>
      <c r="S104" s="31" t="s">
        <v>338</v>
      </c>
    </row>
    <row r="105" spans="2:20" x14ac:dyDescent="0.35">
      <c r="B105" s="133" t="s">
        <v>339</v>
      </c>
      <c r="C105" s="125" t="s">
        <v>328</v>
      </c>
      <c r="D105" s="126"/>
      <c r="E105" s="126"/>
      <c r="F105" s="126"/>
      <c r="G105" s="126"/>
      <c r="H105" s="125">
        <v>1</v>
      </c>
      <c r="I105" s="125"/>
      <c r="J105" s="125"/>
      <c r="K105" s="125"/>
      <c r="L105" s="125"/>
      <c r="M105" s="125"/>
      <c r="N105" s="134"/>
      <c r="S105" s="31" t="s">
        <v>342</v>
      </c>
    </row>
    <row r="106" spans="2:20" x14ac:dyDescent="0.35">
      <c r="B106" s="133" t="s">
        <v>340</v>
      </c>
      <c r="C106" s="125" t="s">
        <v>235</v>
      </c>
      <c r="D106" s="126"/>
      <c r="E106" s="126"/>
      <c r="F106" s="126"/>
      <c r="G106" s="126"/>
      <c r="H106" s="125">
        <v>1</v>
      </c>
      <c r="I106" s="125"/>
      <c r="J106" s="125"/>
      <c r="K106" s="125"/>
      <c r="L106" s="125"/>
      <c r="M106" s="125"/>
      <c r="N106" s="134"/>
      <c r="S106" s="31" t="s">
        <v>341</v>
      </c>
    </row>
    <row r="107" spans="2:20" hidden="1" x14ac:dyDescent="0.35">
      <c r="B107" s="133" t="s">
        <v>343</v>
      </c>
      <c r="C107" s="125" t="s">
        <v>344</v>
      </c>
      <c r="D107" s="126"/>
      <c r="E107" s="126"/>
      <c r="F107" s="126"/>
      <c r="G107" s="126"/>
      <c r="H107" s="125">
        <v>1</v>
      </c>
      <c r="I107" s="125">
        <v>1</v>
      </c>
      <c r="J107" s="125"/>
      <c r="K107" s="125"/>
      <c r="L107" s="125"/>
      <c r="M107" s="125"/>
      <c r="N107" s="134"/>
    </row>
    <row r="108" spans="2:20" x14ac:dyDescent="0.35">
      <c r="B108" s="133" t="s">
        <v>210</v>
      </c>
      <c r="C108" s="125" t="s">
        <v>345</v>
      </c>
      <c r="D108" s="126"/>
      <c r="E108" s="126"/>
      <c r="F108" s="126"/>
      <c r="G108" s="126"/>
      <c r="H108" s="125">
        <v>1</v>
      </c>
      <c r="I108" s="125"/>
      <c r="J108" s="125"/>
      <c r="K108" s="125"/>
      <c r="L108" s="125"/>
      <c r="M108" s="125"/>
      <c r="N108" s="134"/>
      <c r="S108" s="31" t="s">
        <v>346</v>
      </c>
    </row>
    <row r="109" spans="2:20" x14ac:dyDescent="0.35">
      <c r="B109" s="133" t="s">
        <v>232</v>
      </c>
      <c r="C109" s="125" t="s">
        <v>348</v>
      </c>
      <c r="D109" s="126"/>
      <c r="E109" s="126"/>
      <c r="F109" s="126"/>
      <c r="G109" s="126"/>
      <c r="H109" s="125">
        <v>1</v>
      </c>
      <c r="I109" s="125"/>
      <c r="J109" s="125"/>
      <c r="K109" s="58">
        <v>1</v>
      </c>
      <c r="L109" s="125"/>
      <c r="M109" s="125"/>
      <c r="N109" s="134"/>
      <c r="S109" s="161" t="s">
        <v>349</v>
      </c>
      <c r="T109" s="36" t="s">
        <v>351</v>
      </c>
    </row>
    <row r="110" spans="2:20" x14ac:dyDescent="0.35">
      <c r="B110" s="135" t="s">
        <v>352</v>
      </c>
      <c r="C110" s="136" t="s">
        <v>353</v>
      </c>
      <c r="D110" s="162"/>
      <c r="E110" s="162"/>
      <c r="F110" s="162"/>
      <c r="G110" s="162"/>
      <c r="H110" s="162"/>
      <c r="I110" s="136">
        <v>1</v>
      </c>
      <c r="J110" s="136"/>
      <c r="K110" s="136"/>
      <c r="L110" s="136"/>
      <c r="M110" s="136"/>
      <c r="N110" s="137"/>
      <c r="S110" s="161"/>
      <c r="T110" s="36"/>
    </row>
    <row r="111" spans="2:20" x14ac:dyDescent="0.35">
      <c r="B111" s="135" t="s">
        <v>232</v>
      </c>
      <c r="C111" s="136" t="s">
        <v>354</v>
      </c>
      <c r="D111" s="162"/>
      <c r="E111" s="162"/>
      <c r="F111" s="162"/>
      <c r="G111" s="162"/>
      <c r="H111" s="162"/>
      <c r="I111" s="136">
        <v>1</v>
      </c>
      <c r="J111" s="136">
        <v>1</v>
      </c>
      <c r="K111" s="136"/>
      <c r="L111" s="136"/>
      <c r="M111" s="136"/>
      <c r="N111" s="137"/>
      <c r="R111" s="26">
        <v>45656</v>
      </c>
      <c r="S111" s="161"/>
      <c r="T111" s="36"/>
    </row>
    <row r="112" spans="2:20" x14ac:dyDescent="0.35">
      <c r="B112" s="135" t="s">
        <v>359</v>
      </c>
      <c r="C112" s="136" t="s">
        <v>360</v>
      </c>
      <c r="D112" s="162"/>
      <c r="E112" s="162"/>
      <c r="F112" s="162"/>
      <c r="G112" s="162"/>
      <c r="H112" s="162"/>
      <c r="I112" s="162"/>
      <c r="J112" s="136">
        <v>1</v>
      </c>
      <c r="K112" s="136"/>
      <c r="L112" s="136"/>
      <c r="M112" s="136"/>
      <c r="N112" s="137"/>
      <c r="S112" s="161"/>
      <c r="T112" s="36"/>
    </row>
    <row r="113" spans="2:20" x14ac:dyDescent="0.35">
      <c r="B113" s="135" t="s">
        <v>332</v>
      </c>
      <c r="C113" s="136" t="s">
        <v>361</v>
      </c>
      <c r="D113" s="162"/>
      <c r="E113" s="162"/>
      <c r="F113" s="162"/>
      <c r="G113" s="162"/>
      <c r="H113" s="162"/>
      <c r="I113" s="162"/>
      <c r="J113" s="136">
        <v>1</v>
      </c>
      <c r="K113" s="136"/>
      <c r="L113" s="136"/>
      <c r="M113" s="136"/>
      <c r="N113" s="137"/>
      <c r="R113" s="36" t="s">
        <v>364</v>
      </c>
      <c r="S113" s="161" t="s">
        <v>363</v>
      </c>
    </row>
    <row r="114" spans="2:20" x14ac:dyDescent="0.35">
      <c r="B114" s="135" t="s">
        <v>258</v>
      </c>
      <c r="C114" s="136" t="s">
        <v>366</v>
      </c>
      <c r="D114" s="162"/>
      <c r="E114" s="162"/>
      <c r="F114" s="162"/>
      <c r="G114" s="162"/>
      <c r="H114" s="162"/>
      <c r="I114" s="162"/>
      <c r="J114" s="136">
        <v>1</v>
      </c>
      <c r="K114" s="136"/>
      <c r="L114" s="136"/>
      <c r="M114" s="136"/>
      <c r="N114" s="137"/>
      <c r="S114" s="161"/>
      <c r="T114" s="36"/>
    </row>
    <row r="115" spans="2:20" x14ac:dyDescent="0.35">
      <c r="B115" s="135" t="s">
        <v>365</v>
      </c>
      <c r="C115" s="136" t="s">
        <v>268</v>
      </c>
      <c r="D115" s="162"/>
      <c r="E115" s="162"/>
      <c r="F115" s="162"/>
      <c r="G115" s="162"/>
      <c r="H115" s="162"/>
      <c r="I115" s="162"/>
      <c r="J115" s="136"/>
      <c r="K115" s="136"/>
      <c r="L115" s="136"/>
      <c r="M115" s="136"/>
      <c r="N115" s="137"/>
      <c r="S115" s="161"/>
      <c r="T115" s="36"/>
    </row>
    <row r="116" spans="2:20" x14ac:dyDescent="0.35">
      <c r="B116" s="135" t="s">
        <v>359</v>
      </c>
      <c r="C116" s="136" t="s">
        <v>360</v>
      </c>
      <c r="D116" s="162"/>
      <c r="E116" s="162"/>
      <c r="F116" s="162"/>
      <c r="G116" s="162"/>
      <c r="H116" s="162"/>
      <c r="I116" s="162"/>
      <c r="J116" s="136">
        <v>1</v>
      </c>
      <c r="K116" s="136"/>
      <c r="L116" s="136"/>
      <c r="M116" s="136"/>
      <c r="N116" s="137"/>
      <c r="S116" s="161"/>
      <c r="T116" s="36"/>
    </row>
    <row r="117" spans="2:20" x14ac:dyDescent="0.35">
      <c r="B117" s="135" t="s">
        <v>254</v>
      </c>
      <c r="C117" s="136" t="s">
        <v>367</v>
      </c>
      <c r="D117" s="162"/>
      <c r="E117" s="162"/>
      <c r="F117" s="162"/>
      <c r="G117" s="162"/>
      <c r="H117" s="162"/>
      <c r="I117" s="162"/>
      <c r="J117" s="162"/>
      <c r="K117" s="136">
        <v>1</v>
      </c>
      <c r="L117" s="136"/>
      <c r="M117" s="136"/>
      <c r="N117" s="137"/>
      <c r="S117" s="161"/>
      <c r="T117" s="36"/>
    </row>
    <row r="118" spans="2:20" x14ac:dyDescent="0.35">
      <c r="B118" s="135" t="s">
        <v>368</v>
      </c>
      <c r="C118" s="136" t="s">
        <v>369</v>
      </c>
      <c r="D118" s="162"/>
      <c r="E118" s="162"/>
      <c r="F118" s="162"/>
      <c r="G118" s="162"/>
      <c r="H118" s="162"/>
      <c r="I118" s="162"/>
      <c r="J118" s="162"/>
      <c r="K118" s="136">
        <v>1</v>
      </c>
      <c r="L118" s="136"/>
      <c r="M118" s="136"/>
      <c r="N118" s="137"/>
      <c r="S118" s="161"/>
      <c r="T118" s="36"/>
    </row>
    <row r="119" spans="2:20" x14ac:dyDescent="0.35">
      <c r="B119" s="135" t="s">
        <v>370</v>
      </c>
      <c r="C119" s="136" t="s">
        <v>371</v>
      </c>
      <c r="D119" s="162"/>
      <c r="E119" s="162"/>
      <c r="F119" s="162"/>
      <c r="G119" s="162"/>
      <c r="H119" s="162"/>
      <c r="I119" s="162"/>
      <c r="J119" s="162"/>
      <c r="K119" s="136">
        <v>1</v>
      </c>
      <c r="L119" s="136"/>
      <c r="M119" s="136"/>
      <c r="N119" s="137"/>
      <c r="S119" s="161" t="s">
        <v>373</v>
      </c>
      <c r="T119" s="36"/>
    </row>
    <row r="120" spans="2:20" ht="15" thickBot="1" x14ac:dyDescent="0.4">
      <c r="B120" s="135" t="s">
        <v>329</v>
      </c>
      <c r="C120" s="136" t="s">
        <v>372</v>
      </c>
      <c r="D120" s="162"/>
      <c r="E120" s="162"/>
      <c r="F120" s="162"/>
      <c r="G120" s="162"/>
      <c r="H120" s="162"/>
      <c r="I120" s="162"/>
      <c r="J120" s="162"/>
      <c r="K120" s="136">
        <v>1</v>
      </c>
      <c r="L120" s="136"/>
      <c r="M120" s="136"/>
      <c r="N120" s="137"/>
      <c r="S120" s="161"/>
      <c r="T120" s="36"/>
    </row>
    <row r="121" spans="2:20" ht="15" thickBot="1" x14ac:dyDescent="0.4">
      <c r="B121" s="289" t="s">
        <v>375</v>
      </c>
      <c r="C121" s="290"/>
      <c r="D121" s="49">
        <f t="shared" ref="D121:K121" si="3">SUM(D95:D120)</f>
        <v>3</v>
      </c>
      <c r="E121" s="49">
        <f t="shared" si="3"/>
        <v>0</v>
      </c>
      <c r="F121" s="49">
        <f t="shared" si="3"/>
        <v>1</v>
      </c>
      <c r="G121" s="49">
        <f t="shared" si="3"/>
        <v>3</v>
      </c>
      <c r="H121" s="49">
        <f t="shared" si="3"/>
        <v>9</v>
      </c>
      <c r="I121" s="49">
        <f t="shared" si="3"/>
        <v>4</v>
      </c>
      <c r="J121" s="49">
        <f t="shared" si="3"/>
        <v>6</v>
      </c>
      <c r="K121" s="49">
        <f t="shared" si="3"/>
        <v>5</v>
      </c>
      <c r="L121" s="138"/>
      <c r="M121" s="138"/>
      <c r="N121" s="139"/>
    </row>
  </sheetData>
  <mergeCells count="31">
    <mergeCell ref="A37:A38"/>
    <mergeCell ref="A41:A42"/>
    <mergeCell ref="A85:A86"/>
    <mergeCell ref="A89:A90"/>
    <mergeCell ref="A64:A65"/>
    <mergeCell ref="A68:A69"/>
    <mergeCell ref="A70:A71"/>
    <mergeCell ref="A76:A77"/>
    <mergeCell ref="A80:A81"/>
    <mergeCell ref="A83:A84"/>
    <mergeCell ref="A43:A44"/>
    <mergeCell ref="A48:A49"/>
    <mergeCell ref="A51:A52"/>
    <mergeCell ref="A53:A54"/>
    <mergeCell ref="A55:A56"/>
    <mergeCell ref="B92:C92"/>
    <mergeCell ref="B121:C121"/>
    <mergeCell ref="A35:A36"/>
    <mergeCell ref="A17:A18"/>
    <mergeCell ref="A2:A3"/>
    <mergeCell ref="A6:A7"/>
    <mergeCell ref="A8:A9"/>
    <mergeCell ref="A11:A12"/>
    <mergeCell ref="A14:A15"/>
    <mergeCell ref="A60:A61"/>
    <mergeCell ref="A21:A22"/>
    <mergeCell ref="A26:A27"/>
    <mergeCell ref="A28:A29"/>
    <mergeCell ref="A30:A31"/>
    <mergeCell ref="A33:A34"/>
    <mergeCell ref="A39:A40"/>
  </mergeCells>
  <pageMargins left="0.70866141732283472" right="0.70866141732283472" top="0.74803149606299213" bottom="0.74803149606299213" header="0.31496062992125984" footer="0.31496062992125984"/>
  <pageSetup paperSize="8" scale="10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DC83-AD9A-4D38-BC19-F31828DEA639}">
  <dimension ref="A1:S112"/>
  <sheetViews>
    <sheetView tabSelected="1" zoomScale="85" zoomScaleNormal="85" workbookViewId="0">
      <pane xSplit="3" ySplit="1" topLeftCell="D72" activePane="bottomRight" state="frozen"/>
      <selection pane="topRight" activeCell="D1" sqref="D1"/>
      <selection pane="bottomLeft" activeCell="A2" sqref="A2"/>
      <selection pane="bottomRight" activeCell="O76" sqref="O76"/>
    </sheetView>
  </sheetViews>
  <sheetFormatPr defaultRowHeight="14.5" x14ac:dyDescent="0.35"/>
  <cols>
    <col min="1" max="1" width="8.7265625" style="123"/>
    <col min="2" max="2" width="24.08984375" customWidth="1"/>
    <col min="3" max="3" width="30.90625" customWidth="1"/>
    <col min="4" max="13" width="4.6328125" customWidth="1"/>
    <col min="14" max="14" width="10.90625" customWidth="1"/>
    <col min="15" max="15" width="9.54296875" customWidth="1"/>
    <col min="19" max="19" width="14.6328125" customWidth="1"/>
  </cols>
  <sheetData>
    <row r="1" spans="1:19" ht="63.5" customHeight="1" thickBot="1" x14ac:dyDescent="0.4">
      <c r="A1" s="120" t="s">
        <v>39</v>
      </c>
      <c r="B1" s="182" t="s">
        <v>184</v>
      </c>
      <c r="C1" s="183" t="s">
        <v>185</v>
      </c>
      <c r="D1" s="170">
        <v>45711</v>
      </c>
      <c r="E1" s="170">
        <v>45746</v>
      </c>
      <c r="F1" s="170">
        <v>45774</v>
      </c>
      <c r="G1" s="170">
        <v>45802</v>
      </c>
      <c r="H1" s="170">
        <v>45837</v>
      </c>
      <c r="I1" s="170">
        <v>45865</v>
      </c>
      <c r="J1" s="170">
        <v>45900</v>
      </c>
      <c r="K1" s="171"/>
      <c r="L1" s="115"/>
      <c r="M1" s="260" t="s">
        <v>37</v>
      </c>
      <c r="N1" s="241" t="s">
        <v>38</v>
      </c>
      <c r="O1" s="185" t="s">
        <v>377</v>
      </c>
      <c r="R1" t="s">
        <v>65</v>
      </c>
      <c r="S1" t="s">
        <v>86</v>
      </c>
    </row>
    <row r="2" spans="1:19" ht="18.5" x14ac:dyDescent="0.35">
      <c r="A2" s="293">
        <v>1</v>
      </c>
      <c r="B2" s="92" t="s">
        <v>186</v>
      </c>
      <c r="C2" s="92" t="s">
        <v>277</v>
      </c>
      <c r="D2" s="4"/>
      <c r="E2" s="3">
        <v>1</v>
      </c>
      <c r="F2" s="4"/>
      <c r="G2" s="4"/>
      <c r="H2" s="3">
        <v>1</v>
      </c>
      <c r="I2" s="82"/>
      <c r="J2" s="1"/>
      <c r="K2" s="1"/>
      <c r="L2" s="228"/>
      <c r="M2" s="261"/>
      <c r="N2" s="242"/>
    </row>
    <row r="3" spans="1:19" ht="19" thickBot="1" x14ac:dyDescent="0.4">
      <c r="A3" s="302"/>
      <c r="B3" s="101" t="s">
        <v>186</v>
      </c>
      <c r="C3" s="101" t="s">
        <v>313</v>
      </c>
      <c r="D3" s="27"/>
      <c r="E3" s="23">
        <v>1</v>
      </c>
      <c r="F3" s="27"/>
      <c r="G3" s="27"/>
      <c r="H3" s="23">
        <v>1</v>
      </c>
      <c r="I3" s="27"/>
      <c r="J3" s="20"/>
      <c r="K3" s="20"/>
      <c r="L3" s="229"/>
      <c r="M3" s="262"/>
      <c r="N3" s="243"/>
    </row>
    <row r="4" spans="1:19" ht="21.5" customHeight="1" thickBot="1" x14ac:dyDescent="0.4">
      <c r="A4" s="152">
        <v>2</v>
      </c>
      <c r="B4" s="153" t="s">
        <v>187</v>
      </c>
      <c r="C4" s="153" t="s">
        <v>309</v>
      </c>
      <c r="D4" s="151"/>
      <c r="E4" s="151"/>
      <c r="F4" s="151"/>
      <c r="G4" s="151"/>
      <c r="H4" s="151"/>
      <c r="I4" s="151"/>
      <c r="J4" s="49"/>
      <c r="K4" s="49"/>
      <c r="L4" s="65"/>
      <c r="M4" s="263"/>
      <c r="N4" s="224"/>
    </row>
    <row r="5" spans="1:19" ht="19" thickBot="1" x14ac:dyDescent="0.4">
      <c r="A5" s="175">
        <v>3</v>
      </c>
      <c r="B5" s="225" t="s">
        <v>188</v>
      </c>
      <c r="C5" s="225" t="s">
        <v>311</v>
      </c>
      <c r="D5" s="169"/>
      <c r="E5" s="169"/>
      <c r="F5" s="169"/>
      <c r="G5" s="226">
        <v>1</v>
      </c>
      <c r="H5" s="169"/>
      <c r="I5" s="226">
        <v>1</v>
      </c>
      <c r="J5" s="226">
        <v>1</v>
      </c>
      <c r="K5" s="55"/>
      <c r="L5" s="230"/>
      <c r="M5" s="264"/>
      <c r="N5" s="244"/>
    </row>
    <row r="6" spans="1:19" ht="18.5" x14ac:dyDescent="0.35">
      <c r="A6" s="297">
        <v>4</v>
      </c>
      <c r="B6" s="81" t="s">
        <v>188</v>
      </c>
      <c r="C6" s="81" t="s">
        <v>301</v>
      </c>
      <c r="D6" s="82"/>
      <c r="E6" s="82"/>
      <c r="F6" s="108">
        <v>1</v>
      </c>
      <c r="G6" s="108">
        <v>1</v>
      </c>
      <c r="H6" s="108">
        <v>1</v>
      </c>
      <c r="I6" s="82"/>
      <c r="J6" s="80"/>
      <c r="K6" s="80"/>
      <c r="L6" s="74"/>
      <c r="M6" s="265"/>
      <c r="N6" s="245"/>
    </row>
    <row r="7" spans="1:19" ht="19" thickBot="1" x14ac:dyDescent="0.4">
      <c r="A7" s="298"/>
      <c r="B7" s="79" t="s">
        <v>188</v>
      </c>
      <c r="C7" s="79" t="s">
        <v>248</v>
      </c>
      <c r="D7" s="44"/>
      <c r="E7" s="27"/>
      <c r="F7" s="23">
        <v>1</v>
      </c>
      <c r="G7" s="23">
        <v>1</v>
      </c>
      <c r="H7" s="27"/>
      <c r="I7" s="27"/>
      <c r="J7" s="20"/>
      <c r="K7" s="20"/>
      <c r="L7" s="231"/>
      <c r="M7" s="266"/>
      <c r="N7" s="246"/>
    </row>
    <row r="8" spans="1:19" ht="18.5" x14ac:dyDescent="0.35">
      <c r="A8" s="293">
        <v>5</v>
      </c>
      <c r="B8" s="92" t="s">
        <v>189</v>
      </c>
      <c r="C8" s="92" t="s">
        <v>278</v>
      </c>
      <c r="D8" s="95">
        <v>1</v>
      </c>
      <c r="E8" s="94"/>
      <c r="F8" s="95">
        <v>1</v>
      </c>
      <c r="G8" s="95">
        <v>1</v>
      </c>
      <c r="H8" s="94"/>
      <c r="I8" s="95">
        <v>1</v>
      </c>
      <c r="J8" s="95">
        <v>1</v>
      </c>
      <c r="K8" s="99"/>
      <c r="L8" s="232"/>
      <c r="M8" s="267"/>
      <c r="N8" s="247"/>
    </row>
    <row r="9" spans="1:19" ht="19" thickBot="1" x14ac:dyDescent="0.4">
      <c r="A9" s="294"/>
      <c r="B9" s="96" t="s">
        <v>189</v>
      </c>
      <c r="C9" s="96" t="s">
        <v>259</v>
      </c>
      <c r="D9" s="88">
        <v>1</v>
      </c>
      <c r="E9" s="87"/>
      <c r="F9" s="88">
        <v>1</v>
      </c>
      <c r="G9" s="88">
        <v>1</v>
      </c>
      <c r="H9" s="87"/>
      <c r="I9" s="88">
        <v>1</v>
      </c>
      <c r="J9" s="8"/>
      <c r="K9" s="8"/>
      <c r="L9" s="233"/>
      <c r="M9" s="268"/>
      <c r="N9" s="248"/>
    </row>
    <row r="10" spans="1:19" ht="19" thickBot="1" x14ac:dyDescent="0.4">
      <c r="A10" s="157">
        <v>6</v>
      </c>
      <c r="B10" s="91" t="s">
        <v>190</v>
      </c>
      <c r="C10" s="91" t="s">
        <v>191</v>
      </c>
      <c r="D10" s="67"/>
      <c r="E10" s="58">
        <v>1</v>
      </c>
      <c r="F10" s="67"/>
      <c r="G10" s="67"/>
      <c r="H10" s="88">
        <v>1</v>
      </c>
      <c r="I10" s="82"/>
      <c r="J10" s="60"/>
      <c r="K10" s="60"/>
      <c r="L10" s="64"/>
      <c r="M10" s="269"/>
      <c r="N10" s="249"/>
    </row>
    <row r="11" spans="1:19" ht="18.5" x14ac:dyDescent="0.35">
      <c r="A11" s="293">
        <v>7</v>
      </c>
      <c r="B11" s="92" t="s">
        <v>192</v>
      </c>
      <c r="C11" s="92" t="s">
        <v>386</v>
      </c>
      <c r="D11" s="94"/>
      <c r="E11" s="94"/>
      <c r="F11" s="94"/>
      <c r="G11" s="94"/>
      <c r="H11" s="111"/>
      <c r="I11" s="58">
        <v>1</v>
      </c>
      <c r="J11" s="111"/>
      <c r="K11" s="99"/>
      <c r="L11" s="232"/>
      <c r="M11" s="267"/>
      <c r="N11" s="247"/>
    </row>
    <row r="12" spans="1:19" ht="19" thickBot="1" x14ac:dyDescent="0.4">
      <c r="A12" s="294"/>
      <c r="B12" s="96" t="s">
        <v>192</v>
      </c>
      <c r="C12" s="96" t="s">
        <v>298</v>
      </c>
      <c r="D12" s="88">
        <v>1</v>
      </c>
      <c r="E12" s="88">
        <v>1</v>
      </c>
      <c r="F12" s="88">
        <v>1</v>
      </c>
      <c r="G12" s="87"/>
      <c r="H12" s="88">
        <v>1</v>
      </c>
      <c r="I12" s="88">
        <v>1</v>
      </c>
      <c r="J12" s="88">
        <v>1</v>
      </c>
      <c r="K12" s="8"/>
      <c r="L12" s="233"/>
      <c r="M12" s="268"/>
      <c r="N12" s="248"/>
    </row>
    <row r="13" spans="1:19" ht="19" thickBot="1" x14ac:dyDescent="0.4">
      <c r="A13" s="157">
        <v>8</v>
      </c>
      <c r="B13" s="91" t="s">
        <v>192</v>
      </c>
      <c r="C13" s="91" t="s">
        <v>193</v>
      </c>
      <c r="D13" s="98"/>
      <c r="E13" s="67"/>
      <c r="F13" s="58">
        <v>1</v>
      </c>
      <c r="G13" s="67"/>
      <c r="H13" s="58">
        <v>1</v>
      </c>
      <c r="I13" s="58">
        <v>1</v>
      </c>
      <c r="J13" s="58">
        <v>1</v>
      </c>
      <c r="K13" s="60"/>
      <c r="L13" s="64"/>
      <c r="M13" s="269"/>
      <c r="N13" s="249"/>
    </row>
    <row r="14" spans="1:19" ht="18.5" x14ac:dyDescent="0.35">
      <c r="A14" s="293">
        <v>9</v>
      </c>
      <c r="B14" s="92" t="s">
        <v>194</v>
      </c>
      <c r="C14" s="92" t="s">
        <v>280</v>
      </c>
      <c r="D14" s="94"/>
      <c r="E14" s="94"/>
      <c r="F14" s="94"/>
      <c r="G14" s="94"/>
      <c r="H14" s="94"/>
      <c r="I14" s="94"/>
      <c r="J14" s="99"/>
      <c r="K14" s="99"/>
      <c r="L14" s="232"/>
      <c r="M14" s="267"/>
      <c r="N14" s="247"/>
    </row>
    <row r="15" spans="1:19" ht="19" thickBot="1" x14ac:dyDescent="0.4">
      <c r="A15" s="294"/>
      <c r="B15" s="96" t="s">
        <v>194</v>
      </c>
      <c r="C15" s="96" t="s">
        <v>45</v>
      </c>
      <c r="D15" s="87"/>
      <c r="E15" s="87"/>
      <c r="F15" s="87"/>
      <c r="G15" s="88">
        <v>1</v>
      </c>
      <c r="H15" s="88">
        <v>1</v>
      </c>
      <c r="I15" s="88">
        <v>1</v>
      </c>
      <c r="J15" s="88">
        <v>1</v>
      </c>
      <c r="K15" s="8"/>
      <c r="L15" s="233"/>
      <c r="M15" s="268"/>
      <c r="N15" s="248"/>
    </row>
    <row r="16" spans="1:19" ht="19" thickBot="1" x14ac:dyDescent="0.4">
      <c r="A16" s="157">
        <v>10</v>
      </c>
      <c r="B16" s="91" t="s">
        <v>195</v>
      </c>
      <c r="C16" s="91" t="s">
        <v>196</v>
      </c>
      <c r="D16" s="67"/>
      <c r="E16" s="67"/>
      <c r="F16" s="67"/>
      <c r="G16" s="67"/>
      <c r="H16" s="67"/>
      <c r="I16" s="67"/>
      <c r="J16" s="60"/>
      <c r="K16" s="60"/>
      <c r="L16" s="64"/>
      <c r="M16" s="269"/>
      <c r="N16" s="249"/>
    </row>
    <row r="17" spans="1:14" ht="18.5" x14ac:dyDescent="0.35">
      <c r="A17" s="293">
        <v>11</v>
      </c>
      <c r="B17" s="83" t="s">
        <v>197</v>
      </c>
      <c r="C17" s="83" t="s">
        <v>281</v>
      </c>
      <c r="D17" s="94"/>
      <c r="E17" s="94"/>
      <c r="F17" s="94"/>
      <c r="G17" s="94"/>
      <c r="H17" s="94"/>
      <c r="I17" s="94"/>
      <c r="J17" s="99"/>
      <c r="K17" s="99"/>
      <c r="L17" s="232"/>
      <c r="M17" s="267"/>
      <c r="N17" s="247"/>
    </row>
    <row r="18" spans="1:14" ht="19" thickBot="1" x14ac:dyDescent="0.4">
      <c r="A18" s="294"/>
      <c r="B18" s="86" t="s">
        <v>197</v>
      </c>
      <c r="C18" s="86" t="s">
        <v>330</v>
      </c>
      <c r="D18" s="87"/>
      <c r="E18" s="87"/>
      <c r="F18" s="87"/>
      <c r="G18" s="87"/>
      <c r="H18" s="87"/>
      <c r="I18" s="87"/>
      <c r="J18" s="8"/>
      <c r="K18" s="8"/>
      <c r="L18" s="233"/>
      <c r="M18" s="268"/>
      <c r="N18" s="248"/>
    </row>
    <row r="19" spans="1:14" ht="19" thickBot="1" x14ac:dyDescent="0.4">
      <c r="A19" s="157">
        <v>12</v>
      </c>
      <c r="B19" s="91" t="s">
        <v>198</v>
      </c>
      <c r="C19" s="91" t="s">
        <v>199</v>
      </c>
      <c r="D19" s="58">
        <v>1</v>
      </c>
      <c r="E19" s="58">
        <v>1</v>
      </c>
      <c r="F19" s="67"/>
      <c r="G19" s="67"/>
      <c r="H19" s="67"/>
      <c r="I19" s="67"/>
      <c r="J19" s="60"/>
      <c r="K19" s="60"/>
      <c r="L19" s="64"/>
      <c r="M19" s="269"/>
      <c r="N19" s="249"/>
    </row>
    <row r="20" spans="1:14" ht="19" thickBot="1" x14ac:dyDescent="0.4">
      <c r="A20" s="144">
        <f t="shared" ref="A20:A83" si="0">A19+1</f>
        <v>13</v>
      </c>
      <c r="B20" s="145" t="s">
        <v>200</v>
      </c>
      <c r="C20" s="145" t="s">
        <v>201</v>
      </c>
      <c r="D20" s="151"/>
      <c r="E20" s="151"/>
      <c r="F20" s="151"/>
      <c r="G20" s="151"/>
      <c r="H20" s="151"/>
      <c r="I20" s="151"/>
      <c r="J20" s="49"/>
      <c r="K20" s="49"/>
      <c r="L20" s="234"/>
      <c r="M20" s="270"/>
      <c r="N20" s="250"/>
    </row>
    <row r="21" spans="1:14" ht="18.5" x14ac:dyDescent="0.35">
      <c r="A21" s="295">
        <f t="shared" si="0"/>
        <v>14</v>
      </c>
      <c r="B21" s="102" t="s">
        <v>202</v>
      </c>
      <c r="C21" s="102" t="s">
        <v>282</v>
      </c>
      <c r="D21" s="95">
        <v>1</v>
      </c>
      <c r="E21" s="95">
        <v>1</v>
      </c>
      <c r="F21" s="94"/>
      <c r="G21" s="94"/>
      <c r="H21" s="95">
        <v>1</v>
      </c>
      <c r="I21" s="95">
        <v>1</v>
      </c>
      <c r="J21" s="95">
        <v>1</v>
      </c>
      <c r="K21" s="99"/>
      <c r="L21" s="235"/>
      <c r="M21" s="271"/>
      <c r="N21" s="251"/>
    </row>
    <row r="22" spans="1:14" ht="19" thickBot="1" x14ac:dyDescent="0.4">
      <c r="A22" s="296"/>
      <c r="B22" s="104" t="s">
        <v>202</v>
      </c>
      <c r="C22" s="104" t="s">
        <v>260</v>
      </c>
      <c r="D22" s="87"/>
      <c r="E22" s="87"/>
      <c r="F22" s="87"/>
      <c r="G22" s="87"/>
      <c r="H22" s="87"/>
      <c r="I22" s="87"/>
      <c r="J22" s="8"/>
      <c r="K22" s="8"/>
      <c r="L22" s="236"/>
      <c r="M22" s="272"/>
      <c r="N22" s="252"/>
    </row>
    <row r="23" spans="1:14" ht="19" thickBot="1" x14ac:dyDescent="0.4">
      <c r="A23" s="157">
        <f>A21+1</f>
        <v>15</v>
      </c>
      <c r="B23" s="91" t="s">
        <v>356</v>
      </c>
      <c r="C23" s="91" t="s">
        <v>357</v>
      </c>
      <c r="D23" s="67"/>
      <c r="E23" s="58">
        <v>1</v>
      </c>
      <c r="F23" s="58">
        <v>1</v>
      </c>
      <c r="G23" s="67"/>
      <c r="H23" s="67"/>
      <c r="I23" s="67"/>
      <c r="J23" s="60"/>
      <c r="K23" s="60"/>
      <c r="L23" s="64"/>
      <c r="M23" s="269"/>
      <c r="N23" s="249"/>
    </row>
    <row r="24" spans="1:14" ht="19" thickBot="1" x14ac:dyDescent="0.4">
      <c r="A24" s="144">
        <f>A23+1</f>
        <v>16</v>
      </c>
      <c r="B24" s="145" t="s">
        <v>203</v>
      </c>
      <c r="C24" s="145" t="s">
        <v>204</v>
      </c>
      <c r="D24" s="148">
        <v>1</v>
      </c>
      <c r="E24" s="151"/>
      <c r="F24" s="148">
        <v>1</v>
      </c>
      <c r="G24" s="151"/>
      <c r="H24" s="151"/>
      <c r="I24" s="151"/>
      <c r="J24" s="95">
        <v>1</v>
      </c>
      <c r="K24" s="49"/>
      <c r="L24" s="234"/>
      <c r="M24" s="270"/>
      <c r="N24" s="250"/>
    </row>
    <row r="25" spans="1:14" ht="19" thickBot="1" x14ac:dyDescent="0.4">
      <c r="A25" s="157">
        <f t="shared" si="0"/>
        <v>17</v>
      </c>
      <c r="B25" s="91" t="s">
        <v>205</v>
      </c>
      <c r="C25" s="91" t="s">
        <v>206</v>
      </c>
      <c r="D25" s="58">
        <v>1</v>
      </c>
      <c r="E25" s="58">
        <v>1</v>
      </c>
      <c r="F25" s="67"/>
      <c r="G25" s="67"/>
      <c r="H25" s="58">
        <v>1</v>
      </c>
      <c r="I25" s="82"/>
      <c r="J25" s="60"/>
      <c r="K25" s="60"/>
      <c r="L25" s="64"/>
      <c r="M25" s="269"/>
      <c r="N25" s="249"/>
    </row>
    <row r="26" spans="1:14" ht="18.5" x14ac:dyDescent="0.35">
      <c r="A26" s="293">
        <f>A25+1</f>
        <v>18</v>
      </c>
      <c r="B26" s="92" t="s">
        <v>207</v>
      </c>
      <c r="C26" s="92" t="s">
        <v>283</v>
      </c>
      <c r="D26" s="95">
        <v>1</v>
      </c>
      <c r="E26" s="95">
        <v>1</v>
      </c>
      <c r="F26" s="95">
        <v>1</v>
      </c>
      <c r="G26" s="94"/>
      <c r="H26" s="95">
        <v>1</v>
      </c>
      <c r="I26" s="95">
        <v>1</v>
      </c>
      <c r="J26" s="95">
        <v>1</v>
      </c>
      <c r="K26" s="99"/>
      <c r="L26" s="232"/>
      <c r="M26" s="267"/>
      <c r="N26" s="247"/>
    </row>
    <row r="27" spans="1:14" ht="19" thickBot="1" x14ac:dyDescent="0.4">
      <c r="A27" s="294"/>
      <c r="B27" s="96" t="s">
        <v>207</v>
      </c>
      <c r="C27" s="96" t="s">
        <v>261</v>
      </c>
      <c r="D27" s="88">
        <v>1</v>
      </c>
      <c r="E27" s="88">
        <v>1</v>
      </c>
      <c r="F27" s="88">
        <v>1</v>
      </c>
      <c r="G27" s="87"/>
      <c r="H27" s="217"/>
      <c r="I27" s="88">
        <v>1</v>
      </c>
      <c r="J27" s="88">
        <v>1</v>
      </c>
      <c r="K27" s="8"/>
      <c r="L27" s="233"/>
      <c r="M27" s="268"/>
      <c r="N27" s="248"/>
    </row>
    <row r="28" spans="1:14" ht="18.5" x14ac:dyDescent="0.35">
      <c r="A28" s="297">
        <f>A26+1</f>
        <v>19</v>
      </c>
      <c r="B28" s="81" t="s">
        <v>208</v>
      </c>
      <c r="C28" s="81" t="s">
        <v>381</v>
      </c>
      <c r="D28" s="82"/>
      <c r="E28" s="108">
        <v>1</v>
      </c>
      <c r="F28" s="82"/>
      <c r="G28" s="82"/>
      <c r="H28" s="82"/>
      <c r="I28" s="108">
        <v>1</v>
      </c>
      <c r="J28" s="108">
        <v>1</v>
      </c>
      <c r="K28" s="80"/>
      <c r="L28" s="74"/>
      <c r="M28" s="265"/>
      <c r="N28" s="245"/>
    </row>
    <row r="29" spans="1:14" ht="19" thickBot="1" x14ac:dyDescent="0.4">
      <c r="A29" s="298"/>
      <c r="B29" s="79" t="s">
        <v>208</v>
      </c>
      <c r="C29" s="79" t="s">
        <v>380</v>
      </c>
      <c r="D29" s="27"/>
      <c r="E29" s="23">
        <v>1</v>
      </c>
      <c r="F29" s="23">
        <v>1</v>
      </c>
      <c r="G29" s="44"/>
      <c r="H29" s="23">
        <v>1</v>
      </c>
      <c r="I29" s="82"/>
      <c r="J29" s="108">
        <v>1</v>
      </c>
      <c r="K29" s="20"/>
      <c r="L29" s="231"/>
      <c r="M29" s="266"/>
      <c r="N29" s="246"/>
    </row>
    <row r="30" spans="1:14" ht="18.5" x14ac:dyDescent="0.35">
      <c r="A30" s="293">
        <f>A28+1</f>
        <v>20</v>
      </c>
      <c r="B30" s="92" t="s">
        <v>209</v>
      </c>
      <c r="C30" s="92" t="s">
        <v>285</v>
      </c>
      <c r="D30" s="94"/>
      <c r="E30" s="94"/>
      <c r="F30" s="94"/>
      <c r="G30" s="94"/>
      <c r="H30" s="94"/>
      <c r="I30" s="94"/>
      <c r="J30" s="99"/>
      <c r="K30" s="99"/>
      <c r="L30" s="232"/>
      <c r="M30" s="267"/>
      <c r="N30" s="247"/>
    </row>
    <row r="31" spans="1:14" ht="19" thickBot="1" x14ac:dyDescent="0.4">
      <c r="A31" s="294"/>
      <c r="B31" s="96" t="s">
        <v>209</v>
      </c>
      <c r="C31" s="96" t="s">
        <v>263</v>
      </c>
      <c r="D31" s="87"/>
      <c r="E31" s="87"/>
      <c r="F31" s="87"/>
      <c r="G31" s="87"/>
      <c r="H31" s="87"/>
      <c r="I31" s="87"/>
      <c r="J31" s="8"/>
      <c r="K31" s="8"/>
      <c r="L31" s="233"/>
      <c r="M31" s="268"/>
      <c r="N31" s="248"/>
    </row>
    <row r="32" spans="1:14" ht="19" thickBot="1" x14ac:dyDescent="0.4">
      <c r="A32" s="157">
        <f>A30+1</f>
        <v>21</v>
      </c>
      <c r="B32" s="91" t="s">
        <v>210</v>
      </c>
      <c r="C32" s="91" t="s">
        <v>211</v>
      </c>
      <c r="D32" s="58">
        <v>1</v>
      </c>
      <c r="E32" s="67"/>
      <c r="F32" s="58">
        <v>1</v>
      </c>
      <c r="G32" s="58">
        <v>1</v>
      </c>
      <c r="H32" s="95">
        <v>1</v>
      </c>
      <c r="I32" s="95">
        <v>1</v>
      </c>
      <c r="J32" s="95">
        <v>1</v>
      </c>
      <c r="K32" s="60"/>
      <c r="L32" s="64"/>
      <c r="M32" s="269"/>
      <c r="N32" s="249"/>
    </row>
    <row r="33" spans="1:19" ht="18.5" x14ac:dyDescent="0.35">
      <c r="A33" s="293">
        <f t="shared" si="0"/>
        <v>22</v>
      </c>
      <c r="B33" s="92" t="s">
        <v>212</v>
      </c>
      <c r="C33" s="92" t="s">
        <v>286</v>
      </c>
      <c r="D33" s="95">
        <v>1</v>
      </c>
      <c r="E33" s="95">
        <v>1</v>
      </c>
      <c r="F33" s="111"/>
      <c r="G33" s="95">
        <v>1</v>
      </c>
      <c r="H33" s="95">
        <v>1</v>
      </c>
      <c r="I33" s="95">
        <v>1</v>
      </c>
      <c r="J33" s="95">
        <v>1</v>
      </c>
      <c r="K33" s="99"/>
      <c r="L33" s="232"/>
      <c r="M33" s="267"/>
      <c r="N33" s="247"/>
    </row>
    <row r="34" spans="1:19" ht="19" thickBot="1" x14ac:dyDescent="0.4">
      <c r="A34" s="294"/>
      <c r="B34" s="96" t="s">
        <v>212</v>
      </c>
      <c r="C34" s="96" t="s">
        <v>304</v>
      </c>
      <c r="D34" s="88">
        <v>1</v>
      </c>
      <c r="E34" s="88">
        <v>1</v>
      </c>
      <c r="F34" s="217"/>
      <c r="G34" s="88">
        <v>1</v>
      </c>
      <c r="H34" s="88">
        <v>1</v>
      </c>
      <c r="I34" s="88">
        <v>1</v>
      </c>
      <c r="J34" s="88">
        <v>1</v>
      </c>
      <c r="K34" s="8"/>
      <c r="L34" s="233"/>
      <c r="M34" s="268"/>
      <c r="N34" s="248"/>
    </row>
    <row r="35" spans="1:19" ht="18.5" x14ac:dyDescent="0.35">
      <c r="A35" s="292">
        <f>A33+1</f>
        <v>23</v>
      </c>
      <c r="B35" s="81" t="s">
        <v>322</v>
      </c>
      <c r="C35" s="81" t="s">
        <v>321</v>
      </c>
      <c r="D35" s="82"/>
      <c r="E35" s="82"/>
      <c r="F35" s="82"/>
      <c r="G35" s="82"/>
      <c r="H35" s="82"/>
      <c r="I35" s="82"/>
      <c r="J35" s="80"/>
      <c r="K35" s="80"/>
      <c r="L35" s="237"/>
      <c r="M35" s="273"/>
      <c r="N35" s="253"/>
    </row>
    <row r="36" spans="1:19" ht="19" thickBot="1" x14ac:dyDescent="0.4">
      <c r="A36" s="292"/>
      <c r="B36" s="79" t="s">
        <v>322</v>
      </c>
      <c r="C36" s="79" t="s">
        <v>323</v>
      </c>
      <c r="D36" s="27"/>
      <c r="E36" s="44"/>
      <c r="F36" s="27"/>
      <c r="G36" s="27"/>
      <c r="H36" s="27"/>
      <c r="I36" s="27"/>
      <c r="J36" s="20"/>
      <c r="K36" s="20"/>
      <c r="L36" s="229"/>
      <c r="M36" s="262"/>
      <c r="N36" s="243"/>
    </row>
    <row r="37" spans="1:19" ht="18.5" x14ac:dyDescent="0.35">
      <c r="A37" s="291">
        <f>A35+1</f>
        <v>24</v>
      </c>
      <c r="B37" s="215" t="s">
        <v>329</v>
      </c>
      <c r="C37" s="189" t="s">
        <v>358</v>
      </c>
      <c r="D37" s="218">
        <v>1</v>
      </c>
      <c r="E37" s="111"/>
      <c r="F37" s="111"/>
      <c r="G37" s="95">
        <v>1</v>
      </c>
      <c r="H37" s="95">
        <v>1</v>
      </c>
      <c r="I37" s="94"/>
      <c r="J37" s="95">
        <v>1</v>
      </c>
      <c r="K37" s="99"/>
      <c r="L37" s="232"/>
      <c r="M37" s="267"/>
      <c r="N37" s="247"/>
    </row>
    <row r="38" spans="1:19" ht="19" thickBot="1" x14ac:dyDescent="0.4">
      <c r="A38" s="307"/>
      <c r="B38" s="216" t="s">
        <v>329</v>
      </c>
      <c r="C38" s="191" t="s">
        <v>387</v>
      </c>
      <c r="D38" s="219"/>
      <c r="E38" s="217"/>
      <c r="F38" s="217"/>
      <c r="G38" s="217"/>
      <c r="H38" s="217"/>
      <c r="I38" s="87"/>
      <c r="J38" s="217"/>
      <c r="K38" s="8"/>
      <c r="L38" s="230"/>
      <c r="M38" s="264"/>
      <c r="N38" s="244"/>
    </row>
    <row r="39" spans="1:19" ht="18.5" x14ac:dyDescent="0.35">
      <c r="A39" s="297">
        <f>A37+1</f>
        <v>25</v>
      </c>
      <c r="B39" s="81" t="s">
        <v>213</v>
      </c>
      <c r="C39" s="81" t="s">
        <v>287</v>
      </c>
      <c r="D39" s="142"/>
      <c r="E39" s="108">
        <v>1</v>
      </c>
      <c r="F39" s="108">
        <v>1</v>
      </c>
      <c r="G39" s="108">
        <v>1</v>
      </c>
      <c r="H39" s="95">
        <v>1</v>
      </c>
      <c r="I39" s="95">
        <v>1</v>
      </c>
      <c r="J39" s="95">
        <v>1</v>
      </c>
      <c r="K39" s="80"/>
      <c r="L39" s="74"/>
      <c r="M39" s="265"/>
      <c r="N39" s="245"/>
    </row>
    <row r="40" spans="1:19" ht="19" thickBot="1" x14ac:dyDescent="0.4">
      <c r="A40" s="298"/>
      <c r="B40" s="79" t="s">
        <v>213</v>
      </c>
      <c r="C40" s="79" t="s">
        <v>264</v>
      </c>
      <c r="D40" s="23">
        <v>1</v>
      </c>
      <c r="E40" s="23">
        <v>1</v>
      </c>
      <c r="F40" s="23">
        <v>1</v>
      </c>
      <c r="G40" s="23">
        <v>1</v>
      </c>
      <c r="H40" s="88">
        <v>1</v>
      </c>
      <c r="I40" s="88">
        <v>1</v>
      </c>
      <c r="J40" s="88">
        <v>1</v>
      </c>
      <c r="K40" s="20"/>
      <c r="L40" s="231"/>
      <c r="M40" s="266"/>
      <c r="N40" s="246"/>
    </row>
    <row r="41" spans="1:19" ht="18.5" x14ac:dyDescent="0.35">
      <c r="A41" s="299">
        <f>A39+1</f>
        <v>26</v>
      </c>
      <c r="B41" s="164" t="s">
        <v>343</v>
      </c>
      <c r="C41" s="164" t="s">
        <v>355</v>
      </c>
      <c r="D41" s="95">
        <v>1</v>
      </c>
      <c r="E41" s="95">
        <v>1</v>
      </c>
      <c r="F41" s="94"/>
      <c r="G41" s="111"/>
      <c r="H41" s="95">
        <v>1</v>
      </c>
      <c r="I41" s="95">
        <v>1</v>
      </c>
      <c r="J41" s="95">
        <v>1</v>
      </c>
      <c r="K41" s="99"/>
      <c r="L41" s="235"/>
      <c r="M41" s="271"/>
      <c r="N41" s="251"/>
    </row>
    <row r="42" spans="1:19" ht="19" thickBot="1" x14ac:dyDescent="0.4">
      <c r="A42" s="300"/>
      <c r="B42" s="165" t="s">
        <v>343</v>
      </c>
      <c r="C42" s="165" t="s">
        <v>344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  <c r="I42" s="88">
        <v>1</v>
      </c>
      <c r="J42" s="88">
        <v>1</v>
      </c>
      <c r="K42" s="8"/>
      <c r="L42" s="236"/>
      <c r="M42" s="272"/>
      <c r="N42" s="252"/>
      <c r="S42" s="31" t="s">
        <v>347</v>
      </c>
    </row>
    <row r="43" spans="1:19" ht="19" thickBot="1" x14ac:dyDescent="0.4">
      <c r="A43" s="293">
        <f>A41+1</f>
        <v>27</v>
      </c>
      <c r="B43" s="92" t="s">
        <v>214</v>
      </c>
      <c r="C43" s="92" t="s">
        <v>288</v>
      </c>
      <c r="D43" s="95">
        <v>1</v>
      </c>
      <c r="E43" s="94"/>
      <c r="F43" s="94"/>
      <c r="G43" s="95">
        <v>1</v>
      </c>
      <c r="H43" s="94"/>
      <c r="I43" s="151"/>
      <c r="J43" s="99"/>
      <c r="K43" s="99"/>
      <c r="L43" s="232"/>
      <c r="M43" s="267"/>
      <c r="N43" s="247"/>
    </row>
    <row r="44" spans="1:19" ht="19" thickBot="1" x14ac:dyDescent="0.4">
      <c r="A44" s="294"/>
      <c r="B44" s="96" t="s">
        <v>214</v>
      </c>
      <c r="C44" s="96" t="s">
        <v>265</v>
      </c>
      <c r="D44" s="88">
        <v>1</v>
      </c>
      <c r="E44" s="88">
        <v>1</v>
      </c>
      <c r="F44" s="88">
        <v>1</v>
      </c>
      <c r="G44" s="88">
        <v>1</v>
      </c>
      <c r="H44" s="87"/>
      <c r="I44" s="88">
        <v>1</v>
      </c>
      <c r="J44" s="8"/>
      <c r="K44" s="8"/>
      <c r="L44" s="233"/>
      <c r="M44" s="268"/>
      <c r="N44" s="248"/>
    </row>
    <row r="45" spans="1:19" ht="19" thickBot="1" x14ac:dyDescent="0.4">
      <c r="A45" s="157">
        <f>A43+1</f>
        <v>28</v>
      </c>
      <c r="B45" s="91" t="s">
        <v>215</v>
      </c>
      <c r="C45" s="91" t="s">
        <v>216</v>
      </c>
      <c r="D45" s="67"/>
      <c r="E45" s="67"/>
      <c r="F45" s="67"/>
      <c r="G45" s="67"/>
      <c r="H45" s="95">
        <v>1</v>
      </c>
      <c r="I45" s="151"/>
      <c r="J45" s="60"/>
      <c r="K45" s="60"/>
      <c r="L45" s="64"/>
      <c r="M45" s="269"/>
      <c r="N45" s="249"/>
    </row>
    <row r="46" spans="1:19" ht="19" thickBot="1" x14ac:dyDescent="0.4">
      <c r="A46" s="144">
        <f t="shared" si="0"/>
        <v>29</v>
      </c>
      <c r="B46" s="145" t="s">
        <v>215</v>
      </c>
      <c r="C46" s="145" t="s">
        <v>303</v>
      </c>
      <c r="D46" s="151"/>
      <c r="E46" s="151"/>
      <c r="F46" s="151"/>
      <c r="G46" s="151"/>
      <c r="H46" s="151"/>
      <c r="I46" s="95">
        <v>1</v>
      </c>
      <c r="J46" s="95">
        <v>1</v>
      </c>
      <c r="K46" s="49"/>
      <c r="L46" s="234"/>
      <c r="M46" s="270"/>
      <c r="N46" s="250"/>
    </row>
    <row r="47" spans="1:19" ht="19" thickBot="1" x14ac:dyDescent="0.4">
      <c r="A47" s="157">
        <f t="shared" si="0"/>
        <v>30</v>
      </c>
      <c r="B47" s="91" t="s">
        <v>215</v>
      </c>
      <c r="C47" s="91" t="s">
        <v>307</v>
      </c>
      <c r="D47" s="67"/>
      <c r="E47" s="67"/>
      <c r="F47" s="67"/>
      <c r="G47" s="67"/>
      <c r="H47" s="67"/>
      <c r="I47" s="151"/>
      <c r="J47" s="60"/>
      <c r="K47" s="60"/>
      <c r="L47" s="64"/>
      <c r="M47" s="269"/>
      <c r="N47" s="249"/>
    </row>
    <row r="48" spans="1:19" ht="18.5" x14ac:dyDescent="0.35">
      <c r="A48" s="293">
        <f t="shared" si="0"/>
        <v>31</v>
      </c>
      <c r="B48" s="92" t="s">
        <v>217</v>
      </c>
      <c r="C48" s="92" t="s">
        <v>289</v>
      </c>
      <c r="D48" s="95">
        <v>1</v>
      </c>
      <c r="E48" s="95">
        <v>1</v>
      </c>
      <c r="F48" s="95">
        <v>1</v>
      </c>
      <c r="G48" s="95">
        <v>1</v>
      </c>
      <c r="H48" s="95">
        <v>1</v>
      </c>
      <c r="I48" s="95">
        <v>1</v>
      </c>
      <c r="J48" s="95">
        <v>1</v>
      </c>
      <c r="K48" s="99"/>
      <c r="L48" s="232"/>
      <c r="M48" s="267"/>
      <c r="N48" s="247"/>
    </row>
    <row r="49" spans="1:14" ht="19" thickBot="1" x14ac:dyDescent="0.4">
      <c r="A49" s="294"/>
      <c r="B49" s="96" t="s">
        <v>217</v>
      </c>
      <c r="C49" s="96" t="s">
        <v>266</v>
      </c>
      <c r="D49" s="88">
        <v>1</v>
      </c>
      <c r="E49" s="87"/>
      <c r="F49" s="88">
        <v>1</v>
      </c>
      <c r="G49" s="88">
        <v>1</v>
      </c>
      <c r="H49" s="87"/>
      <c r="I49" s="88">
        <v>1</v>
      </c>
      <c r="J49" s="8"/>
      <c r="K49" s="8"/>
      <c r="L49" s="233"/>
      <c r="M49" s="268"/>
      <c r="N49" s="248"/>
    </row>
    <row r="50" spans="1:14" ht="19" thickBot="1" x14ac:dyDescent="0.4">
      <c r="A50" s="157">
        <f>A48+1</f>
        <v>32</v>
      </c>
      <c r="B50" s="91" t="s">
        <v>218</v>
      </c>
      <c r="C50" s="91" t="s">
        <v>219</v>
      </c>
      <c r="D50" s="58">
        <v>1</v>
      </c>
      <c r="E50" s="67"/>
      <c r="F50" s="67"/>
      <c r="G50" s="67"/>
      <c r="H50" s="67"/>
      <c r="I50" s="151"/>
      <c r="J50" s="60"/>
      <c r="K50" s="60"/>
      <c r="L50" s="64"/>
      <c r="M50" s="269"/>
      <c r="N50" s="249"/>
    </row>
    <row r="51" spans="1:14" ht="18.5" x14ac:dyDescent="0.35">
      <c r="A51" s="293">
        <f t="shared" si="0"/>
        <v>33</v>
      </c>
      <c r="B51" s="92" t="s">
        <v>299</v>
      </c>
      <c r="C51" s="92" t="s">
        <v>300</v>
      </c>
      <c r="D51" s="95">
        <v>1</v>
      </c>
      <c r="E51" s="94"/>
      <c r="F51" s="94"/>
      <c r="G51" s="94"/>
      <c r="H51" s="95">
        <v>1</v>
      </c>
      <c r="I51" s="95">
        <v>1</v>
      </c>
      <c r="J51" s="99"/>
      <c r="K51" s="99"/>
      <c r="L51" s="232"/>
      <c r="M51" s="267"/>
      <c r="N51" s="247"/>
    </row>
    <row r="52" spans="1:14" ht="19" thickBot="1" x14ac:dyDescent="0.4">
      <c r="A52" s="294"/>
      <c r="B52" s="96" t="s">
        <v>299</v>
      </c>
      <c r="C52" s="96" t="s">
        <v>267</v>
      </c>
      <c r="D52" s="88">
        <v>1</v>
      </c>
      <c r="E52" s="88">
        <v>1</v>
      </c>
      <c r="F52" s="88">
        <v>1</v>
      </c>
      <c r="G52" s="87"/>
      <c r="H52" s="88">
        <v>1</v>
      </c>
      <c r="I52" s="88">
        <v>1</v>
      </c>
      <c r="J52" s="88">
        <v>1</v>
      </c>
      <c r="K52" s="8"/>
      <c r="L52" s="233"/>
      <c r="M52" s="268"/>
      <c r="N52" s="248"/>
    </row>
    <row r="53" spans="1:14" ht="19" thickBot="1" x14ac:dyDescent="0.4">
      <c r="A53" s="297">
        <f>A51+1</f>
        <v>34</v>
      </c>
      <c r="B53" s="81" t="s">
        <v>220</v>
      </c>
      <c r="C53" s="81" t="s">
        <v>290</v>
      </c>
      <c r="D53" s="108">
        <v>1</v>
      </c>
      <c r="E53" s="82"/>
      <c r="F53" s="82"/>
      <c r="G53" s="108">
        <v>1</v>
      </c>
      <c r="H53" s="108">
        <v>1</v>
      </c>
      <c r="I53" s="108">
        <v>1</v>
      </c>
      <c r="J53" s="108">
        <v>1</v>
      </c>
      <c r="K53" s="80"/>
      <c r="L53" s="74"/>
      <c r="M53" s="265"/>
      <c r="N53" s="245"/>
    </row>
    <row r="54" spans="1:14" ht="19" thickBot="1" x14ac:dyDescent="0.4">
      <c r="A54" s="298"/>
      <c r="B54" s="79" t="s">
        <v>220</v>
      </c>
      <c r="C54" s="79" t="s">
        <v>268</v>
      </c>
      <c r="D54" s="27"/>
      <c r="E54" s="27"/>
      <c r="F54" s="27"/>
      <c r="G54" s="23">
        <v>1</v>
      </c>
      <c r="H54" s="44"/>
      <c r="I54" s="151"/>
      <c r="J54" s="20"/>
      <c r="K54" s="20"/>
      <c r="L54" s="231"/>
      <c r="M54" s="266"/>
      <c r="N54" s="246"/>
    </row>
    <row r="55" spans="1:14" ht="19" thickBot="1" x14ac:dyDescent="0.4">
      <c r="A55" s="293">
        <f>A53+1</f>
        <v>35</v>
      </c>
      <c r="B55" s="92" t="s">
        <v>221</v>
      </c>
      <c r="C55" s="92" t="s">
        <v>296</v>
      </c>
      <c r="D55" s="94"/>
      <c r="E55" s="95">
        <v>1</v>
      </c>
      <c r="F55" s="95">
        <v>1</v>
      </c>
      <c r="G55" s="94"/>
      <c r="H55" s="95">
        <v>1</v>
      </c>
      <c r="I55" s="95">
        <v>1</v>
      </c>
      <c r="J55" s="99"/>
      <c r="K55" s="99"/>
      <c r="L55" s="232"/>
      <c r="M55" s="267"/>
      <c r="N55" s="247"/>
    </row>
    <row r="56" spans="1:14" ht="19" thickBot="1" x14ac:dyDescent="0.4">
      <c r="A56" s="294"/>
      <c r="B56" s="96" t="s">
        <v>221</v>
      </c>
      <c r="C56" s="96" t="s">
        <v>362</v>
      </c>
      <c r="D56" s="88">
        <v>1</v>
      </c>
      <c r="E56" s="87"/>
      <c r="F56" s="87"/>
      <c r="G56" s="88">
        <v>1</v>
      </c>
      <c r="H56" s="88">
        <v>1</v>
      </c>
      <c r="I56" s="151"/>
      <c r="J56" s="8"/>
      <c r="K56" s="8"/>
      <c r="L56" s="233"/>
      <c r="M56" s="268"/>
      <c r="N56" s="248"/>
    </row>
    <row r="57" spans="1:14" ht="19" thickBot="1" x14ac:dyDescent="0.4">
      <c r="A57" s="157">
        <f>A55+1</f>
        <v>36</v>
      </c>
      <c r="B57" s="91" t="s">
        <v>221</v>
      </c>
      <c r="C57" s="91" t="s">
        <v>222</v>
      </c>
      <c r="D57" s="67"/>
      <c r="E57" s="67"/>
      <c r="F57" s="67"/>
      <c r="G57" s="67"/>
      <c r="H57" s="67"/>
      <c r="I57" s="67"/>
      <c r="J57" s="60"/>
      <c r="K57" s="60"/>
      <c r="L57" s="64"/>
      <c r="M57" s="269"/>
      <c r="N57" s="249"/>
    </row>
    <row r="58" spans="1:14" ht="19" thickBot="1" x14ac:dyDescent="0.4">
      <c r="A58" s="144">
        <f t="shared" si="0"/>
        <v>37</v>
      </c>
      <c r="B58" s="145" t="s">
        <v>223</v>
      </c>
      <c r="C58" s="145" t="s">
        <v>224</v>
      </c>
      <c r="D58" s="151"/>
      <c r="E58" s="151"/>
      <c r="F58" s="151"/>
      <c r="G58" s="151"/>
      <c r="H58" s="88">
        <v>1</v>
      </c>
      <c r="I58" s="151"/>
      <c r="J58" s="49"/>
      <c r="K58" s="49"/>
      <c r="L58" s="234"/>
      <c r="M58" s="270"/>
      <c r="N58" s="250"/>
    </row>
    <row r="59" spans="1:14" ht="19" thickBot="1" x14ac:dyDescent="0.4">
      <c r="A59" s="157">
        <f t="shared" si="0"/>
        <v>38</v>
      </c>
      <c r="B59" s="91" t="s">
        <v>225</v>
      </c>
      <c r="C59" s="91" t="s">
        <v>226</v>
      </c>
      <c r="D59" s="67"/>
      <c r="E59" s="67"/>
      <c r="F59" s="67"/>
      <c r="G59" s="67"/>
      <c r="H59" s="67"/>
      <c r="I59" s="148">
        <v>1</v>
      </c>
      <c r="J59" s="60"/>
      <c r="K59" s="60"/>
      <c r="L59" s="64"/>
      <c r="M59" s="269"/>
      <c r="N59" s="249"/>
    </row>
    <row r="60" spans="1:14" ht="18.5" x14ac:dyDescent="0.35">
      <c r="A60" s="293">
        <f t="shared" si="0"/>
        <v>39</v>
      </c>
      <c r="B60" s="92" t="s">
        <v>227</v>
      </c>
      <c r="C60" s="92" t="s">
        <v>291</v>
      </c>
      <c r="D60" s="95">
        <v>1</v>
      </c>
      <c r="E60" s="94"/>
      <c r="F60" s="94"/>
      <c r="G60" s="95">
        <v>1</v>
      </c>
      <c r="H60" s="95">
        <v>1</v>
      </c>
      <c r="I60" s="95">
        <v>1</v>
      </c>
      <c r="J60" s="95">
        <v>1</v>
      </c>
      <c r="K60" s="99"/>
      <c r="L60" s="232"/>
      <c r="M60" s="267"/>
      <c r="N60" s="247"/>
    </row>
    <row r="61" spans="1:14" ht="19" thickBot="1" x14ac:dyDescent="0.4">
      <c r="A61" s="294"/>
      <c r="B61" s="96" t="s">
        <v>227</v>
      </c>
      <c r="C61" s="96" t="s">
        <v>269</v>
      </c>
      <c r="D61" s="88">
        <v>1</v>
      </c>
      <c r="E61" s="87"/>
      <c r="F61" s="87"/>
      <c r="G61" s="88">
        <v>1</v>
      </c>
      <c r="H61" s="88">
        <v>1</v>
      </c>
      <c r="I61" s="88">
        <v>1</v>
      </c>
      <c r="J61" s="88">
        <v>1</v>
      </c>
      <c r="K61" s="8"/>
      <c r="L61" s="233"/>
      <c r="M61" s="268"/>
      <c r="N61" s="248"/>
    </row>
    <row r="62" spans="1:14" ht="19" thickBot="1" x14ac:dyDescent="0.4">
      <c r="A62" s="157">
        <f>A60+1</f>
        <v>40</v>
      </c>
      <c r="B62" s="91" t="s">
        <v>228</v>
      </c>
      <c r="C62" s="91" t="s">
        <v>229</v>
      </c>
      <c r="D62" s="67"/>
      <c r="E62" s="67"/>
      <c r="F62" s="67"/>
      <c r="G62" s="67"/>
      <c r="H62" s="67"/>
      <c r="I62" s="67"/>
      <c r="J62" s="60"/>
      <c r="K62" s="60"/>
      <c r="L62" s="64"/>
      <c r="M62" s="269"/>
      <c r="N62" s="249"/>
    </row>
    <row r="63" spans="1:14" ht="19" thickBot="1" x14ac:dyDescent="0.4">
      <c r="A63" s="144">
        <f t="shared" si="0"/>
        <v>41</v>
      </c>
      <c r="B63" s="145" t="s">
        <v>383</v>
      </c>
      <c r="C63" s="145" t="s">
        <v>231</v>
      </c>
      <c r="D63" s="151"/>
      <c r="E63" s="220"/>
      <c r="F63" s="148">
        <v>1</v>
      </c>
      <c r="G63" s="148">
        <v>1</v>
      </c>
      <c r="H63" s="148">
        <v>1</v>
      </c>
      <c r="I63" s="148">
        <v>1</v>
      </c>
      <c r="J63" s="148">
        <v>1</v>
      </c>
      <c r="K63" s="49"/>
      <c r="L63" s="234"/>
      <c r="M63" s="270"/>
      <c r="N63" s="250"/>
    </row>
    <row r="64" spans="1:14" ht="19" thickBot="1" x14ac:dyDescent="0.4">
      <c r="A64" s="214">
        <f t="shared" si="0"/>
        <v>42</v>
      </c>
      <c r="B64" s="81" t="s">
        <v>232</v>
      </c>
      <c r="C64" s="91" t="s">
        <v>379</v>
      </c>
      <c r="D64" s="82"/>
      <c r="E64" s="108">
        <v>1</v>
      </c>
      <c r="F64" s="82"/>
      <c r="G64" s="108">
        <v>1</v>
      </c>
      <c r="H64" s="108">
        <v>1</v>
      </c>
      <c r="I64" s="108">
        <v>1</v>
      </c>
      <c r="J64" s="108">
        <v>1</v>
      </c>
      <c r="K64" s="80"/>
      <c r="L64" s="237"/>
      <c r="M64" s="273"/>
      <c r="N64" s="253"/>
    </row>
    <row r="65" spans="1:14" ht="18.5" x14ac:dyDescent="0.35">
      <c r="A65" s="306">
        <f>A64+1</f>
        <v>43</v>
      </c>
      <c r="B65" s="102" t="s">
        <v>232</v>
      </c>
      <c r="C65" s="204" t="s">
        <v>235</v>
      </c>
      <c r="D65" s="187">
        <v>1</v>
      </c>
      <c r="E65" s="4"/>
      <c r="F65" s="4"/>
      <c r="G65" s="4"/>
      <c r="H65" s="187">
        <v>1</v>
      </c>
      <c r="I65" s="82"/>
      <c r="J65" s="1"/>
      <c r="K65" s="1"/>
      <c r="L65" s="63"/>
      <c r="M65" s="274"/>
      <c r="N65" s="254"/>
    </row>
    <row r="66" spans="1:14" ht="19" thickBot="1" x14ac:dyDescent="0.4">
      <c r="A66" s="296"/>
      <c r="B66" s="210" t="s">
        <v>232</v>
      </c>
      <c r="C66" s="211" t="s">
        <v>270</v>
      </c>
      <c r="D66" s="209"/>
      <c r="E66" s="16"/>
      <c r="F66" s="16"/>
      <c r="G66" s="16"/>
      <c r="H66" s="16"/>
      <c r="I66" s="16"/>
      <c r="J66" s="16"/>
      <c r="K66" s="16"/>
      <c r="L66" s="238"/>
      <c r="M66" s="275"/>
      <c r="N66" s="255"/>
    </row>
    <row r="67" spans="1:14" ht="19" thickBot="1" x14ac:dyDescent="0.4">
      <c r="A67" s="212">
        <f>A65+1</f>
        <v>44</v>
      </c>
      <c r="B67" s="208" t="s">
        <v>312</v>
      </c>
      <c r="C67" s="208" t="s">
        <v>233</v>
      </c>
      <c r="D67" s="27"/>
      <c r="E67" s="23">
        <v>1</v>
      </c>
      <c r="F67" s="27"/>
      <c r="G67" s="27"/>
      <c r="H67" s="27"/>
      <c r="I67" s="23">
        <v>1</v>
      </c>
      <c r="J67" s="20"/>
      <c r="K67" s="20"/>
      <c r="L67" s="229"/>
      <c r="M67" s="262"/>
      <c r="N67" s="243"/>
    </row>
    <row r="68" spans="1:14" ht="19" thickBot="1" x14ac:dyDescent="0.4">
      <c r="A68" s="213">
        <f t="shared" si="0"/>
        <v>45</v>
      </c>
      <c r="B68" s="164" t="s">
        <v>234</v>
      </c>
      <c r="C68" s="164" t="s">
        <v>305</v>
      </c>
      <c r="D68" s="184"/>
      <c r="E68" s="184"/>
      <c r="F68" s="184"/>
      <c r="G68" s="184"/>
      <c r="H68" s="23">
        <v>1</v>
      </c>
      <c r="I68" s="82"/>
      <c r="J68" s="221"/>
      <c r="K68" s="221"/>
      <c r="L68" s="239"/>
      <c r="M68" s="276"/>
      <c r="N68" s="256"/>
    </row>
    <row r="69" spans="1:14" ht="19" thickBot="1" x14ac:dyDescent="0.4">
      <c r="A69" s="152">
        <f t="shared" si="0"/>
        <v>46</v>
      </c>
      <c r="B69" s="153" t="s">
        <v>359</v>
      </c>
      <c r="C69" s="222" t="s">
        <v>360</v>
      </c>
      <c r="D69" s="95">
        <v>1</v>
      </c>
      <c r="E69" s="151"/>
      <c r="F69" s="151"/>
      <c r="G69" s="151"/>
      <c r="H69" s="151"/>
      <c r="I69" s="151"/>
      <c r="J69" s="49"/>
      <c r="K69" s="49"/>
      <c r="L69" s="65"/>
      <c r="M69" s="263"/>
      <c r="N69" s="224"/>
    </row>
    <row r="70" spans="1:14" ht="18.5" x14ac:dyDescent="0.35">
      <c r="A70" s="295">
        <f>A69+1</f>
        <v>47</v>
      </c>
      <c r="B70" s="102" t="s">
        <v>238</v>
      </c>
      <c r="C70" s="102" t="s">
        <v>302</v>
      </c>
      <c r="D70" s="95">
        <v>1</v>
      </c>
      <c r="E70" s="95">
        <v>1</v>
      </c>
      <c r="F70" s="111"/>
      <c r="G70" s="95">
        <v>1</v>
      </c>
      <c r="H70" s="95">
        <v>1</v>
      </c>
      <c r="I70" s="82"/>
      <c r="J70" s="95">
        <v>1</v>
      </c>
      <c r="K70" s="99"/>
      <c r="L70" s="235"/>
      <c r="M70" s="271"/>
      <c r="N70" s="251"/>
    </row>
    <row r="71" spans="1:14" ht="19" thickBot="1" x14ac:dyDescent="0.4">
      <c r="A71" s="296"/>
      <c r="B71" s="104" t="s">
        <v>238</v>
      </c>
      <c r="C71" s="104" t="s">
        <v>271</v>
      </c>
      <c r="D71" s="88">
        <v>1</v>
      </c>
      <c r="E71" s="87"/>
      <c r="F71" s="88">
        <v>1</v>
      </c>
      <c r="G71" s="88">
        <v>1</v>
      </c>
      <c r="H71" s="88">
        <v>1</v>
      </c>
      <c r="I71" s="88">
        <v>1</v>
      </c>
      <c r="J71" s="88">
        <v>1</v>
      </c>
      <c r="K71" s="8"/>
      <c r="L71" s="236"/>
      <c r="M71" s="272"/>
      <c r="N71" s="252"/>
    </row>
    <row r="72" spans="1:14" ht="18.5" x14ac:dyDescent="0.35">
      <c r="A72" s="301">
        <f>A70+1</f>
        <v>48</v>
      </c>
      <c r="B72" s="110" t="s">
        <v>239</v>
      </c>
      <c r="C72" s="110" t="s">
        <v>292</v>
      </c>
      <c r="D72" s="82"/>
      <c r="E72" s="108">
        <v>1</v>
      </c>
      <c r="F72" s="82"/>
      <c r="G72" s="108">
        <v>1</v>
      </c>
      <c r="H72" s="108">
        <v>1</v>
      </c>
      <c r="I72" s="108">
        <v>1</v>
      </c>
      <c r="J72" s="80"/>
      <c r="K72" s="80"/>
      <c r="L72" s="237"/>
      <c r="M72" s="273"/>
      <c r="N72" s="253"/>
    </row>
    <row r="73" spans="1:14" ht="19" thickBot="1" x14ac:dyDescent="0.4">
      <c r="A73" s="302"/>
      <c r="B73" s="101" t="s">
        <v>239</v>
      </c>
      <c r="C73" s="101" t="s">
        <v>272</v>
      </c>
      <c r="D73" s="27"/>
      <c r="E73" s="23">
        <v>1</v>
      </c>
      <c r="F73" s="27"/>
      <c r="G73" s="23">
        <v>1</v>
      </c>
      <c r="H73" s="23">
        <v>1</v>
      </c>
      <c r="I73" s="23">
        <v>1</v>
      </c>
      <c r="J73" s="23">
        <v>1</v>
      </c>
      <c r="K73" s="20"/>
      <c r="L73" s="229"/>
      <c r="M73" s="262"/>
      <c r="N73" s="243"/>
    </row>
    <row r="74" spans="1:14" ht="19" thickBot="1" x14ac:dyDescent="0.4">
      <c r="A74" s="152">
        <f>A72+1</f>
        <v>49</v>
      </c>
      <c r="B74" s="153" t="s">
        <v>240</v>
      </c>
      <c r="C74" s="153" t="s">
        <v>310</v>
      </c>
      <c r="D74" s="151"/>
      <c r="E74" s="151"/>
      <c r="F74" s="151"/>
      <c r="G74" s="151"/>
      <c r="H74" s="151"/>
      <c r="I74" s="151"/>
      <c r="J74" s="49"/>
      <c r="K74" s="49"/>
      <c r="L74" s="65"/>
      <c r="M74" s="263"/>
      <c r="N74" s="224"/>
    </row>
    <row r="75" spans="1:14" ht="19" thickBot="1" x14ac:dyDescent="0.4">
      <c r="A75" s="158">
        <f t="shared" si="0"/>
        <v>50</v>
      </c>
      <c r="B75" s="117" t="s">
        <v>241</v>
      </c>
      <c r="C75" s="117" t="s">
        <v>242</v>
      </c>
      <c r="D75" s="67"/>
      <c r="E75" s="67"/>
      <c r="F75" s="67"/>
      <c r="G75" s="67"/>
      <c r="H75" s="67"/>
      <c r="I75" s="67"/>
      <c r="J75" s="95">
        <v>1</v>
      </c>
      <c r="K75" s="60"/>
      <c r="L75" s="240"/>
      <c r="M75" s="277"/>
      <c r="N75" s="257"/>
    </row>
    <row r="76" spans="1:14" ht="19" thickBot="1" x14ac:dyDescent="0.4">
      <c r="A76" s="152">
        <f t="shared" si="0"/>
        <v>51</v>
      </c>
      <c r="B76" s="153" t="s">
        <v>243</v>
      </c>
      <c r="C76" s="153" t="s">
        <v>244</v>
      </c>
      <c r="D76" s="151"/>
      <c r="E76" s="148">
        <v>1</v>
      </c>
      <c r="F76" s="148">
        <v>1</v>
      </c>
      <c r="G76" s="151"/>
      <c r="H76" s="148">
        <v>1</v>
      </c>
      <c r="I76" s="151"/>
      <c r="J76" s="49"/>
      <c r="K76" s="49"/>
      <c r="L76" s="65"/>
      <c r="M76" s="263"/>
      <c r="N76" s="224"/>
    </row>
    <row r="77" spans="1:14" ht="19" thickBot="1" x14ac:dyDescent="0.4">
      <c r="A77" s="158">
        <f t="shared" si="0"/>
        <v>52</v>
      </c>
      <c r="B77" s="117" t="s">
        <v>245</v>
      </c>
      <c r="C77" s="117" t="s">
        <v>246</v>
      </c>
      <c r="D77" s="67"/>
      <c r="E77" s="67"/>
      <c r="F77" s="67"/>
      <c r="G77" s="67"/>
      <c r="H77" s="67"/>
      <c r="I77" s="67"/>
      <c r="J77" s="108">
        <v>1</v>
      </c>
      <c r="K77" s="60"/>
      <c r="L77" s="240"/>
      <c r="M77" s="277"/>
      <c r="N77" s="257"/>
    </row>
    <row r="78" spans="1:14" ht="18.5" x14ac:dyDescent="0.35">
      <c r="A78" s="295">
        <f t="shared" si="0"/>
        <v>53</v>
      </c>
      <c r="B78" s="102" t="s">
        <v>247</v>
      </c>
      <c r="C78" s="102" t="s">
        <v>224</v>
      </c>
      <c r="D78" s="94"/>
      <c r="E78" s="94"/>
      <c r="F78" s="94"/>
      <c r="G78" s="94"/>
      <c r="H78" s="94"/>
      <c r="I78" s="94"/>
      <c r="J78" s="99"/>
      <c r="K78" s="99"/>
      <c r="L78" s="235"/>
      <c r="M78" s="271"/>
      <c r="N78" s="251"/>
    </row>
    <row r="79" spans="1:14" ht="19" thickBot="1" x14ac:dyDescent="0.4">
      <c r="A79" s="296"/>
      <c r="B79" s="104" t="s">
        <v>247</v>
      </c>
      <c r="C79" s="104" t="s">
        <v>308</v>
      </c>
      <c r="D79" s="87"/>
      <c r="E79" s="87"/>
      <c r="F79" s="87"/>
      <c r="G79" s="87"/>
      <c r="H79" s="87"/>
      <c r="I79" s="87"/>
      <c r="J79" s="8"/>
      <c r="K79" s="8"/>
      <c r="L79" s="236"/>
      <c r="M79" s="272"/>
      <c r="N79" s="252"/>
    </row>
    <row r="80" spans="1:14" ht="18.5" x14ac:dyDescent="0.35">
      <c r="A80" s="212">
        <f>A78+1</f>
        <v>54</v>
      </c>
      <c r="B80" s="92" t="s">
        <v>248</v>
      </c>
      <c r="C80" s="92" t="s">
        <v>249</v>
      </c>
      <c r="D80" s="94"/>
      <c r="E80" s="95">
        <v>1</v>
      </c>
      <c r="F80" s="95">
        <v>1</v>
      </c>
      <c r="G80" s="95">
        <v>1</v>
      </c>
      <c r="H80" s="95">
        <v>1</v>
      </c>
      <c r="I80" s="95">
        <v>1</v>
      </c>
      <c r="J80" s="95">
        <v>1</v>
      </c>
      <c r="K80" s="99"/>
      <c r="L80" s="232"/>
      <c r="M80" s="267"/>
      <c r="N80" s="247"/>
    </row>
    <row r="81" spans="1:14" ht="19" thickBot="1" x14ac:dyDescent="0.4">
      <c r="A81" s="214"/>
      <c r="B81" s="96" t="s">
        <v>248</v>
      </c>
      <c r="C81" s="96" t="s">
        <v>196</v>
      </c>
      <c r="D81" s="87"/>
      <c r="E81" s="88">
        <v>1</v>
      </c>
      <c r="F81" s="88">
        <v>1</v>
      </c>
      <c r="G81" s="87"/>
      <c r="H81" s="88">
        <v>1</v>
      </c>
      <c r="I81" s="88">
        <v>1</v>
      </c>
      <c r="J81" s="88">
        <v>1</v>
      </c>
      <c r="K81" s="8"/>
      <c r="L81" s="233"/>
      <c r="M81" s="268"/>
      <c r="N81" s="248"/>
    </row>
    <row r="82" spans="1:14" ht="19" thickBot="1" x14ac:dyDescent="0.4">
      <c r="A82" s="157">
        <f>A80+1</f>
        <v>55</v>
      </c>
      <c r="B82" s="91" t="s">
        <v>248</v>
      </c>
      <c r="C82" s="91" t="s">
        <v>306</v>
      </c>
      <c r="D82" s="67"/>
      <c r="E82" s="67"/>
      <c r="F82" s="67"/>
      <c r="G82" s="67"/>
      <c r="H82" s="67"/>
      <c r="I82" s="67"/>
      <c r="J82" s="60"/>
      <c r="K82" s="60"/>
      <c r="L82" s="64"/>
      <c r="M82" s="269"/>
      <c r="N82" s="249"/>
    </row>
    <row r="83" spans="1:14" ht="18.5" x14ac:dyDescent="0.35">
      <c r="A83" s="293">
        <f t="shared" si="0"/>
        <v>56</v>
      </c>
      <c r="B83" s="92" t="s">
        <v>295</v>
      </c>
      <c r="C83" s="92" t="s">
        <v>293</v>
      </c>
      <c r="D83" s="95">
        <v>1</v>
      </c>
      <c r="E83" s="94"/>
      <c r="F83" s="94"/>
      <c r="G83" s="95">
        <v>1</v>
      </c>
      <c r="H83" s="95">
        <v>1</v>
      </c>
      <c r="I83" s="94"/>
      <c r="J83" s="95">
        <v>1</v>
      </c>
      <c r="K83" s="99"/>
      <c r="L83" s="232"/>
      <c r="M83" s="267"/>
      <c r="N83" s="247"/>
    </row>
    <row r="84" spans="1:14" ht="19" thickBot="1" x14ac:dyDescent="0.4">
      <c r="A84" s="294"/>
      <c r="B84" s="96" t="s">
        <v>295</v>
      </c>
      <c r="C84" s="96" t="s">
        <v>273</v>
      </c>
      <c r="D84" s="88">
        <v>1</v>
      </c>
      <c r="E84" s="88">
        <v>1</v>
      </c>
      <c r="F84" s="87"/>
      <c r="G84" s="88">
        <v>1</v>
      </c>
      <c r="H84" s="88">
        <v>1</v>
      </c>
      <c r="I84" s="88">
        <v>1</v>
      </c>
      <c r="J84" s="88">
        <v>1</v>
      </c>
      <c r="K84" s="8"/>
      <c r="L84" s="236"/>
      <c r="M84" s="272"/>
      <c r="N84" s="252"/>
    </row>
    <row r="85" spans="1:14" ht="19" thickBot="1" x14ac:dyDescent="0.4">
      <c r="A85" s="157">
        <f>A83+1</f>
        <v>57</v>
      </c>
      <c r="B85" s="91" t="s">
        <v>250</v>
      </c>
      <c r="C85" s="91" t="s">
        <v>251</v>
      </c>
      <c r="D85" s="58"/>
      <c r="E85" s="67"/>
      <c r="F85" s="67"/>
      <c r="G85" s="58">
        <v>1</v>
      </c>
      <c r="H85" s="67"/>
      <c r="I85" s="67"/>
      <c r="J85" s="60"/>
      <c r="K85" s="60"/>
      <c r="L85" s="64"/>
      <c r="M85" s="269"/>
      <c r="N85" s="249"/>
    </row>
    <row r="86" spans="1:14" ht="18.5" x14ac:dyDescent="0.35">
      <c r="A86" s="293">
        <f>A85+1</f>
        <v>58</v>
      </c>
      <c r="B86" s="92" t="s">
        <v>252</v>
      </c>
      <c r="C86" s="92" t="s">
        <v>294</v>
      </c>
      <c r="D86" s="94"/>
      <c r="E86" s="94"/>
      <c r="F86" s="94"/>
      <c r="G86" s="94"/>
      <c r="H86" s="94"/>
      <c r="I86" s="95">
        <v>1</v>
      </c>
      <c r="J86" s="95">
        <v>1</v>
      </c>
      <c r="K86" s="99"/>
      <c r="L86" s="235"/>
      <c r="M86" s="271"/>
      <c r="N86" s="251"/>
    </row>
    <row r="87" spans="1:14" ht="19" thickBot="1" x14ac:dyDescent="0.4">
      <c r="A87" s="294"/>
      <c r="B87" s="96" t="s">
        <v>252</v>
      </c>
      <c r="C87" s="96" t="s">
        <v>274</v>
      </c>
      <c r="D87" s="87"/>
      <c r="E87" s="87"/>
      <c r="F87" s="87"/>
      <c r="G87" s="88">
        <v>1</v>
      </c>
      <c r="H87" s="87"/>
      <c r="I87" s="88">
        <v>1</v>
      </c>
      <c r="J87" s="88">
        <v>1</v>
      </c>
      <c r="K87" s="8"/>
      <c r="L87" s="236"/>
      <c r="M87" s="272"/>
      <c r="N87" s="252"/>
    </row>
    <row r="88" spans="1:14" ht="18.5" x14ac:dyDescent="0.35">
      <c r="A88" s="297">
        <f>A86+1</f>
        <v>59</v>
      </c>
      <c r="B88" s="81" t="s">
        <v>253</v>
      </c>
      <c r="C88" s="81" t="s">
        <v>205</v>
      </c>
      <c r="D88" s="82"/>
      <c r="E88" s="82"/>
      <c r="F88" s="82"/>
      <c r="G88" s="82"/>
      <c r="H88" s="82"/>
      <c r="I88" s="82"/>
      <c r="J88" s="80"/>
      <c r="K88" s="80"/>
      <c r="L88" s="237"/>
      <c r="M88" s="273"/>
      <c r="N88" s="253"/>
    </row>
    <row r="89" spans="1:14" ht="19" thickBot="1" x14ac:dyDescent="0.4">
      <c r="A89" s="298"/>
      <c r="B89" s="79" t="s">
        <v>253</v>
      </c>
      <c r="C89" s="79" t="s">
        <v>376</v>
      </c>
      <c r="D89" s="23">
        <v>1</v>
      </c>
      <c r="E89" s="27"/>
      <c r="F89" s="23">
        <v>1</v>
      </c>
      <c r="G89" s="44"/>
      <c r="H89" s="23">
        <v>1</v>
      </c>
      <c r="I89" s="23">
        <v>1</v>
      </c>
      <c r="J89" s="23">
        <v>1</v>
      </c>
      <c r="K89" s="20"/>
      <c r="L89" s="229"/>
      <c r="M89" s="262"/>
      <c r="N89" s="243"/>
    </row>
    <row r="90" spans="1:14" ht="19" thickBot="1" x14ac:dyDescent="0.4">
      <c r="A90" s="144">
        <f>A88+1</f>
        <v>60</v>
      </c>
      <c r="B90" s="145" t="s">
        <v>254</v>
      </c>
      <c r="C90" s="145" t="s">
        <v>255</v>
      </c>
      <c r="D90" s="148">
        <v>1</v>
      </c>
      <c r="E90" s="151"/>
      <c r="F90" s="148">
        <v>1</v>
      </c>
      <c r="G90" s="151"/>
      <c r="H90" s="148">
        <v>1</v>
      </c>
      <c r="I90" s="82"/>
      <c r="J90" s="148">
        <v>1</v>
      </c>
      <c r="K90" s="49"/>
      <c r="L90" s="65"/>
      <c r="M90" s="263"/>
      <c r="N90" s="224"/>
    </row>
    <row r="91" spans="1:14" ht="19" thickBot="1" x14ac:dyDescent="0.4">
      <c r="A91" s="157">
        <f t="shared" ref="A91:A92" si="1">A90+1</f>
        <v>61</v>
      </c>
      <c r="B91" s="91" t="s">
        <v>256</v>
      </c>
      <c r="C91" s="91" t="s">
        <v>257</v>
      </c>
      <c r="D91" s="67"/>
      <c r="E91" s="67"/>
      <c r="F91" s="58">
        <v>1</v>
      </c>
      <c r="G91" s="58">
        <v>1</v>
      </c>
      <c r="H91" s="88">
        <v>1</v>
      </c>
      <c r="I91" s="88">
        <v>1</v>
      </c>
      <c r="J91" s="88">
        <v>1</v>
      </c>
      <c r="K91" s="60"/>
      <c r="L91" s="64"/>
      <c r="M91" s="269"/>
      <c r="N91" s="249"/>
    </row>
    <row r="92" spans="1:14" ht="18.5" x14ac:dyDescent="0.35">
      <c r="A92" s="293">
        <f t="shared" si="1"/>
        <v>62</v>
      </c>
      <c r="B92" s="92" t="s">
        <v>258</v>
      </c>
      <c r="C92" s="92" t="s">
        <v>276</v>
      </c>
      <c r="D92" s="94"/>
      <c r="E92" s="95">
        <v>1</v>
      </c>
      <c r="F92" s="94"/>
      <c r="G92" s="95">
        <v>1</v>
      </c>
      <c r="H92" s="95">
        <v>1</v>
      </c>
      <c r="I92" s="82"/>
      <c r="J92" s="99"/>
      <c r="K92" s="99"/>
      <c r="L92" s="235"/>
      <c r="M92" s="271"/>
      <c r="N92" s="251"/>
    </row>
    <row r="93" spans="1:14" ht="19" thickBot="1" x14ac:dyDescent="0.4">
      <c r="A93" s="294"/>
      <c r="B93" s="96" t="s">
        <v>258</v>
      </c>
      <c r="C93" s="96" t="s">
        <v>297</v>
      </c>
      <c r="D93" s="88">
        <v>1</v>
      </c>
      <c r="E93" s="88">
        <v>1</v>
      </c>
      <c r="F93" s="88">
        <v>1</v>
      </c>
      <c r="G93" s="87"/>
      <c r="H93" s="88">
        <v>1</v>
      </c>
      <c r="I93" s="88">
        <v>1</v>
      </c>
      <c r="J93" s="88">
        <v>1</v>
      </c>
      <c r="K93" s="8"/>
      <c r="L93" s="236"/>
      <c r="M93" s="272"/>
      <c r="N93" s="252"/>
    </row>
    <row r="94" spans="1:14" ht="16" thickBot="1" x14ac:dyDescent="0.4">
      <c r="A94" s="122"/>
      <c r="B94" s="53"/>
      <c r="C94" s="54"/>
      <c r="D94" s="56"/>
      <c r="E94" s="56"/>
      <c r="F94" s="56"/>
      <c r="G94" s="55"/>
      <c r="H94" s="55"/>
      <c r="I94" s="55"/>
      <c r="J94" s="55"/>
      <c r="K94" s="180"/>
      <c r="L94" s="180"/>
      <c r="M94" s="278"/>
      <c r="N94" s="258" t="s">
        <v>126</v>
      </c>
    </row>
    <row r="95" spans="1:14" ht="15" thickBot="1" x14ac:dyDescent="0.4">
      <c r="A95" s="122"/>
      <c r="B95" s="303" t="s">
        <v>350</v>
      </c>
      <c r="C95" s="304"/>
      <c r="D95" s="55">
        <f t="shared" ref="D95:K95" si="2">SUM(D2:D94)</f>
        <v>36</v>
      </c>
      <c r="E95" s="55">
        <f t="shared" si="2"/>
        <v>33</v>
      </c>
      <c r="F95" s="55">
        <f t="shared" si="2"/>
        <v>29</v>
      </c>
      <c r="G95" s="55">
        <f t="shared" si="2"/>
        <v>35</v>
      </c>
      <c r="H95" s="55">
        <f t="shared" si="2"/>
        <v>47</v>
      </c>
      <c r="I95" s="55">
        <f t="shared" si="2"/>
        <v>43</v>
      </c>
      <c r="J95" s="55">
        <f t="shared" si="2"/>
        <v>42</v>
      </c>
      <c r="K95" s="55">
        <f t="shared" si="2"/>
        <v>0</v>
      </c>
      <c r="L95" s="180"/>
      <c r="M95" s="278"/>
      <c r="N95" s="259">
        <f>AVERAGE(D95:J95)</f>
        <v>37.857142857142854</v>
      </c>
    </row>
    <row r="96" spans="1:14" ht="15" thickBot="1" x14ac:dyDescent="0.4"/>
    <row r="97" spans="1:19" ht="18.5" thickBot="1" x14ac:dyDescent="0.45">
      <c r="A97" s="287" t="s">
        <v>39</v>
      </c>
      <c r="B97" s="279" t="s">
        <v>314</v>
      </c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4"/>
    </row>
    <row r="98" spans="1:19" ht="16" hidden="1" thickBot="1" x14ac:dyDescent="0.4">
      <c r="A98" s="283">
        <v>63</v>
      </c>
      <c r="B98" s="280" t="s">
        <v>215</v>
      </c>
      <c r="C98" s="129" t="s">
        <v>378</v>
      </c>
      <c r="D98" s="146"/>
      <c r="E98" s="227">
        <v>1</v>
      </c>
      <c r="F98" s="227"/>
      <c r="G98" s="227"/>
      <c r="H98" s="227"/>
      <c r="I98" s="227"/>
      <c r="J98" s="227"/>
      <c r="K98" s="227"/>
      <c r="L98" s="130"/>
      <c r="M98" s="130"/>
      <c r="N98" s="132"/>
    </row>
    <row r="99" spans="1:19" ht="15" hidden="1" thickBot="1" x14ac:dyDescent="0.4">
      <c r="A99" s="284">
        <f>A98+1</f>
        <v>64</v>
      </c>
      <c r="B99" s="281" t="s">
        <v>382</v>
      </c>
      <c r="C99" s="136" t="s">
        <v>276</v>
      </c>
      <c r="D99" s="56"/>
      <c r="E99" s="56"/>
      <c r="F99" s="177">
        <v>1</v>
      </c>
      <c r="G99" s="177"/>
      <c r="H99" s="177"/>
      <c r="I99" s="177"/>
      <c r="J99" s="177"/>
      <c r="K99" s="177"/>
      <c r="L99" s="136"/>
      <c r="M99" s="136"/>
      <c r="N99" s="137"/>
    </row>
    <row r="100" spans="1:19" ht="15" hidden="1" thickBot="1" x14ac:dyDescent="0.4">
      <c r="A100" s="284">
        <f t="shared" ref="A100:A110" si="3">A99+1</f>
        <v>65</v>
      </c>
      <c r="B100" s="281" t="s">
        <v>388</v>
      </c>
      <c r="C100" s="136" t="s">
        <v>389</v>
      </c>
      <c r="D100" s="56"/>
      <c r="E100" s="56"/>
      <c r="F100" s="56"/>
      <c r="G100" s="177">
        <v>1</v>
      </c>
      <c r="H100" s="177"/>
      <c r="I100" s="177"/>
      <c r="J100" s="177"/>
      <c r="K100" s="177"/>
      <c r="L100" s="136"/>
      <c r="M100" s="136"/>
      <c r="N100" s="137"/>
    </row>
    <row r="101" spans="1:19" ht="15" hidden="1" thickBot="1" x14ac:dyDescent="0.4">
      <c r="A101" s="284">
        <f t="shared" si="3"/>
        <v>66</v>
      </c>
      <c r="B101" s="282" t="s">
        <v>390</v>
      </c>
      <c r="C101" s="125" t="s">
        <v>391</v>
      </c>
      <c r="D101" s="56"/>
      <c r="E101" s="56"/>
      <c r="F101" s="56"/>
      <c r="G101" s="56"/>
      <c r="H101" s="176">
        <v>1</v>
      </c>
      <c r="I101" s="176"/>
      <c r="J101" s="176"/>
      <c r="K101" s="176"/>
      <c r="L101" s="125"/>
      <c r="M101" s="125"/>
      <c r="N101" s="134"/>
    </row>
    <row r="102" spans="1:19" ht="15" hidden="1" thickBot="1" x14ac:dyDescent="0.4">
      <c r="A102" s="284">
        <f t="shared" si="3"/>
        <v>67</v>
      </c>
      <c r="B102" s="282" t="s">
        <v>236</v>
      </c>
      <c r="C102" s="125" t="s">
        <v>392</v>
      </c>
      <c r="D102" s="56"/>
      <c r="E102" s="56"/>
      <c r="F102" s="56"/>
      <c r="G102" s="56"/>
      <c r="H102" s="176">
        <v>1</v>
      </c>
      <c r="I102" s="176"/>
      <c r="J102" s="176"/>
      <c r="K102" s="176"/>
      <c r="L102" s="125"/>
      <c r="M102" s="125"/>
      <c r="N102" s="134"/>
    </row>
    <row r="103" spans="1:19" hidden="1" x14ac:dyDescent="0.35">
      <c r="A103" s="284">
        <f t="shared" si="3"/>
        <v>68</v>
      </c>
      <c r="B103" s="281" t="s">
        <v>236</v>
      </c>
      <c r="C103" s="136" t="s">
        <v>393</v>
      </c>
      <c r="D103" s="61"/>
      <c r="E103" s="61"/>
      <c r="F103" s="61"/>
      <c r="G103" s="61"/>
      <c r="H103" s="177">
        <v>1</v>
      </c>
      <c r="I103" s="177"/>
      <c r="J103" s="177"/>
      <c r="K103" s="177"/>
      <c r="L103" s="136"/>
      <c r="M103" s="136"/>
      <c r="N103" s="137"/>
    </row>
    <row r="104" spans="1:19" x14ac:dyDescent="0.35">
      <c r="A104" s="284">
        <f t="shared" si="3"/>
        <v>69</v>
      </c>
      <c r="B104" s="282" t="s">
        <v>404</v>
      </c>
      <c r="C104" s="125" t="s">
        <v>287</v>
      </c>
      <c r="D104" s="16"/>
      <c r="E104" s="16"/>
      <c r="F104" s="16"/>
      <c r="G104" s="16"/>
      <c r="H104" s="176">
        <v>1</v>
      </c>
      <c r="I104" s="176"/>
      <c r="J104" s="177">
        <v>1</v>
      </c>
      <c r="K104" s="176"/>
      <c r="L104" s="125"/>
      <c r="M104" s="125"/>
      <c r="N104" s="134"/>
    </row>
    <row r="105" spans="1:19" x14ac:dyDescent="0.35">
      <c r="A105" s="284">
        <f t="shared" si="3"/>
        <v>70</v>
      </c>
      <c r="B105" s="282" t="s">
        <v>394</v>
      </c>
      <c r="C105" s="125" t="s">
        <v>398</v>
      </c>
      <c r="D105" s="16"/>
      <c r="E105" s="16"/>
      <c r="F105" s="16"/>
      <c r="G105" s="16"/>
      <c r="H105" s="176">
        <v>1</v>
      </c>
      <c r="I105" s="176"/>
      <c r="J105" s="176"/>
      <c r="K105" s="176"/>
      <c r="L105" s="125"/>
      <c r="M105" s="125"/>
      <c r="N105" s="134"/>
    </row>
    <row r="106" spans="1:19" x14ac:dyDescent="0.35">
      <c r="A106" s="284">
        <f t="shared" si="3"/>
        <v>71</v>
      </c>
      <c r="B106" s="282" t="s">
        <v>328</v>
      </c>
      <c r="C106" s="125" t="s">
        <v>397</v>
      </c>
      <c r="D106" s="16"/>
      <c r="E106" s="16"/>
      <c r="F106" s="16"/>
      <c r="G106" s="16"/>
      <c r="H106" s="16"/>
      <c r="I106" s="176">
        <v>1</v>
      </c>
      <c r="J106" s="176"/>
      <c r="K106" s="176"/>
      <c r="L106" s="125"/>
      <c r="M106" s="125"/>
      <c r="N106" s="134"/>
    </row>
    <row r="107" spans="1:19" x14ac:dyDescent="0.35">
      <c r="A107" s="284">
        <f t="shared" si="3"/>
        <v>72</v>
      </c>
      <c r="B107" s="281" t="s">
        <v>395</v>
      </c>
      <c r="C107" s="136" t="s">
        <v>396</v>
      </c>
      <c r="D107" s="25"/>
      <c r="E107" s="25"/>
      <c r="F107" s="25"/>
      <c r="G107" s="25"/>
      <c r="H107" s="25"/>
      <c r="I107" s="177">
        <v>1</v>
      </c>
      <c r="J107" s="177"/>
      <c r="K107" s="177"/>
      <c r="L107" s="136"/>
      <c r="M107" s="136"/>
      <c r="N107" s="137"/>
    </row>
    <row r="108" spans="1:19" x14ac:dyDescent="0.35">
      <c r="A108" s="284">
        <f t="shared" si="3"/>
        <v>73</v>
      </c>
      <c r="B108" s="281" t="s">
        <v>215</v>
      </c>
      <c r="C108" s="136" t="s">
        <v>399</v>
      </c>
      <c r="D108" s="25"/>
      <c r="E108" s="25"/>
      <c r="F108" s="25"/>
      <c r="G108" s="25"/>
      <c r="H108" s="25"/>
      <c r="I108" s="25"/>
      <c r="J108" s="176">
        <v>1</v>
      </c>
      <c r="K108" s="177"/>
      <c r="L108" s="136"/>
      <c r="M108" s="136"/>
      <c r="N108" s="137"/>
    </row>
    <row r="109" spans="1:19" x14ac:dyDescent="0.35">
      <c r="A109" s="284">
        <f t="shared" si="3"/>
        <v>74</v>
      </c>
      <c r="B109" s="281" t="s">
        <v>400</v>
      </c>
      <c r="C109" s="136" t="s">
        <v>320</v>
      </c>
      <c r="D109" s="25"/>
      <c r="E109" s="25"/>
      <c r="F109" s="25"/>
      <c r="G109" s="25"/>
      <c r="H109" s="25"/>
      <c r="I109" s="25"/>
      <c r="J109" s="176">
        <v>1</v>
      </c>
      <c r="K109" s="177"/>
      <c r="L109" s="136"/>
      <c r="M109" s="136"/>
      <c r="N109" s="137"/>
    </row>
    <row r="110" spans="1:19" x14ac:dyDescent="0.35">
      <c r="A110" s="284">
        <f t="shared" si="3"/>
        <v>75</v>
      </c>
      <c r="B110" s="281" t="s">
        <v>401</v>
      </c>
      <c r="C110" s="136" t="s">
        <v>402</v>
      </c>
      <c r="D110" s="25"/>
      <c r="E110" s="25"/>
      <c r="F110" s="25"/>
      <c r="G110" s="25"/>
      <c r="H110" s="25"/>
      <c r="I110" s="25"/>
      <c r="J110" s="177">
        <v>1</v>
      </c>
      <c r="K110" s="177"/>
      <c r="L110" s="136"/>
      <c r="M110" s="136"/>
      <c r="N110" s="137"/>
      <c r="S110" s="31" t="s">
        <v>403</v>
      </c>
    </row>
    <row r="111" spans="1:19" ht="15" thickBot="1" x14ac:dyDescent="0.4">
      <c r="A111" s="285"/>
      <c r="B111" s="281"/>
      <c r="C111" s="136"/>
      <c r="D111" s="25"/>
      <c r="E111" s="25"/>
      <c r="F111" s="25"/>
      <c r="G111" s="25"/>
      <c r="H111" s="25"/>
      <c r="I111" s="25"/>
      <c r="J111" s="177"/>
      <c r="K111" s="177"/>
      <c r="L111" s="136"/>
      <c r="M111" s="136"/>
      <c r="N111" s="137"/>
    </row>
    <row r="112" spans="1:19" ht="15" thickBot="1" x14ac:dyDescent="0.4">
      <c r="A112" s="286"/>
      <c r="B112" s="305" t="s">
        <v>375</v>
      </c>
      <c r="C112" s="290"/>
      <c r="D112" s="49">
        <f>SUM(D98:D101)</f>
        <v>0</v>
      </c>
      <c r="E112" s="49">
        <f>SUM(E98)</f>
        <v>1</v>
      </c>
      <c r="F112" s="49">
        <f>SUM(F98:F99)</f>
        <v>1</v>
      </c>
      <c r="G112" s="49">
        <f>SUM(G98:G100)</f>
        <v>1</v>
      </c>
      <c r="H112" s="49">
        <f>SUM(H98:H105)</f>
        <v>5</v>
      </c>
      <c r="I112" s="49">
        <f>SUM(I98:I107)</f>
        <v>2</v>
      </c>
      <c r="J112" s="49">
        <f>SUM(J98:J110)</f>
        <v>4</v>
      </c>
      <c r="K112" s="49">
        <f>SUM(K98:K107)</f>
        <v>0</v>
      </c>
      <c r="L112" s="49">
        <f>SUM(L98:L107)</f>
        <v>0</v>
      </c>
      <c r="M112" s="49">
        <f>SUM(M98:M107)</f>
        <v>0</v>
      </c>
      <c r="N112" s="139"/>
    </row>
  </sheetData>
  <mergeCells count="31">
    <mergeCell ref="A37:A38"/>
    <mergeCell ref="A83:A84"/>
    <mergeCell ref="A86:A87"/>
    <mergeCell ref="A88:A89"/>
    <mergeCell ref="A92:A93"/>
    <mergeCell ref="A39:A40"/>
    <mergeCell ref="A41:A42"/>
    <mergeCell ref="A43:A44"/>
    <mergeCell ref="A48:A49"/>
    <mergeCell ref="A51:A52"/>
    <mergeCell ref="A53:A54"/>
    <mergeCell ref="B95:C95"/>
    <mergeCell ref="B112:C112"/>
    <mergeCell ref="A55:A56"/>
    <mergeCell ref="A60:A61"/>
    <mergeCell ref="A65:A66"/>
    <mergeCell ref="A70:A71"/>
    <mergeCell ref="A72:A73"/>
    <mergeCell ref="A78:A79"/>
    <mergeCell ref="A35:A36"/>
    <mergeCell ref="A2:A3"/>
    <mergeCell ref="A6:A7"/>
    <mergeCell ref="A8:A9"/>
    <mergeCell ref="A11:A12"/>
    <mergeCell ref="A14:A15"/>
    <mergeCell ref="A17:A18"/>
    <mergeCell ref="A21:A22"/>
    <mergeCell ref="A26:A27"/>
    <mergeCell ref="A28:A29"/>
    <mergeCell ref="A30:A31"/>
    <mergeCell ref="A33:A34"/>
  </mergeCells>
  <pageMargins left="0.70866141732283472" right="0.70866141732283472" top="0.74803149606299213" bottom="0.74803149606299213" header="0.31496062992125984" footer="0.31496062992125984"/>
  <pageSetup paperSize="8" scale="10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BA01-5EC6-48CE-8DF5-2D013E1CF040}">
  <dimension ref="A1:AJ1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D36" sqref="AD36"/>
    </sheetView>
  </sheetViews>
  <sheetFormatPr defaultRowHeight="14.5" x14ac:dyDescent="0.35"/>
  <cols>
    <col min="1" max="1" width="8.7265625" style="123"/>
    <col min="2" max="2" width="25.36328125" customWidth="1"/>
    <col min="3" max="3" width="30.90625" customWidth="1"/>
    <col min="4" max="23" width="4.54296875" customWidth="1"/>
    <col min="24" max="30" width="4.6328125" customWidth="1"/>
    <col min="31" max="31" width="10.90625" customWidth="1"/>
    <col min="36" max="36" width="14.6328125" customWidth="1"/>
  </cols>
  <sheetData>
    <row r="1" spans="1:32" ht="82.5" customHeight="1" thickBot="1" x14ac:dyDescent="0.4">
      <c r="A1" s="120" t="s">
        <v>39</v>
      </c>
      <c r="B1" s="182" t="s">
        <v>184</v>
      </c>
      <c r="C1" s="183" t="s">
        <v>185</v>
      </c>
      <c r="D1" s="183"/>
      <c r="E1" s="170">
        <v>44983</v>
      </c>
      <c r="F1" s="198">
        <v>45011</v>
      </c>
      <c r="G1" s="198">
        <v>45046</v>
      </c>
      <c r="H1" s="198">
        <v>45074</v>
      </c>
      <c r="I1" s="198">
        <v>45102</v>
      </c>
      <c r="J1" s="198">
        <v>45137</v>
      </c>
      <c r="K1" s="198">
        <v>45193</v>
      </c>
      <c r="L1" s="198">
        <v>45228</v>
      </c>
      <c r="M1" s="199">
        <v>45256</v>
      </c>
      <c r="N1" s="183"/>
      <c r="O1" s="170">
        <v>45347</v>
      </c>
      <c r="P1" s="170">
        <v>45375</v>
      </c>
      <c r="Q1" s="170">
        <v>45410</v>
      </c>
      <c r="R1" s="170">
        <v>45438</v>
      </c>
      <c r="S1" s="170">
        <v>45473</v>
      </c>
      <c r="T1" s="170">
        <v>45501</v>
      </c>
      <c r="U1" s="170">
        <v>45536</v>
      </c>
      <c r="V1" s="171">
        <v>45564</v>
      </c>
      <c r="W1" s="183"/>
      <c r="X1" s="170">
        <v>45711</v>
      </c>
      <c r="Y1" s="170">
        <v>45746</v>
      </c>
      <c r="Z1" s="170">
        <v>45774</v>
      </c>
      <c r="AA1" s="170"/>
      <c r="AB1" s="171"/>
      <c r="AC1" s="115"/>
      <c r="AD1" s="115" t="s">
        <v>37</v>
      </c>
      <c r="AE1" s="116" t="s">
        <v>38</v>
      </c>
      <c r="AF1" s="185"/>
    </row>
    <row r="2" spans="1:32" ht="18.5" x14ac:dyDescent="0.35">
      <c r="A2" s="293">
        <v>1</v>
      </c>
      <c r="B2" s="92" t="s">
        <v>186</v>
      </c>
      <c r="C2" s="92" t="s">
        <v>277</v>
      </c>
      <c r="D2" s="110"/>
      <c r="E2" s="4"/>
      <c r="F2" s="4"/>
      <c r="G2" s="18">
        <v>1</v>
      </c>
      <c r="H2" s="4"/>
      <c r="I2" s="18">
        <v>1</v>
      </c>
      <c r="J2" s="200"/>
      <c r="K2" s="4"/>
      <c r="L2" s="4"/>
      <c r="M2" s="4"/>
      <c r="N2" s="186"/>
      <c r="O2" s="18">
        <v>1</v>
      </c>
      <c r="P2" s="4"/>
      <c r="Q2" s="3">
        <v>1</v>
      </c>
      <c r="R2" s="4"/>
      <c r="S2" s="4"/>
      <c r="T2" s="4"/>
      <c r="U2" s="4"/>
      <c r="V2" s="4"/>
      <c r="W2" s="186"/>
      <c r="X2" s="4"/>
      <c r="Y2" s="3">
        <v>1</v>
      </c>
      <c r="Z2" s="1"/>
      <c r="AA2" s="1"/>
      <c r="AB2" s="1"/>
      <c r="AC2" s="178"/>
      <c r="AD2" s="178"/>
      <c r="AE2" s="178"/>
    </row>
    <row r="3" spans="1:32" ht="19" thickBot="1" x14ac:dyDescent="0.4">
      <c r="A3" s="294"/>
      <c r="B3" s="96" t="s">
        <v>186</v>
      </c>
      <c r="C3" s="96" t="s">
        <v>313</v>
      </c>
      <c r="D3" s="101"/>
      <c r="E3" s="16"/>
      <c r="F3" s="16"/>
      <c r="G3" s="16"/>
      <c r="H3" s="16"/>
      <c r="I3" s="18">
        <v>1</v>
      </c>
      <c r="J3" s="200"/>
      <c r="K3" s="4"/>
      <c r="L3" s="4"/>
      <c r="M3" s="4"/>
      <c r="N3" s="186"/>
      <c r="O3" s="4"/>
      <c r="P3" s="4"/>
      <c r="Q3" s="3">
        <v>1</v>
      </c>
      <c r="R3" s="18">
        <v>1</v>
      </c>
      <c r="S3" s="4"/>
      <c r="T3" s="4"/>
      <c r="U3" s="4"/>
      <c r="V3" s="4"/>
      <c r="W3" s="186"/>
      <c r="X3" s="4"/>
      <c r="Y3" s="3">
        <v>1</v>
      </c>
      <c r="Z3" s="1"/>
      <c r="AA3" s="1"/>
      <c r="AB3" s="1"/>
      <c r="AC3" s="178"/>
      <c r="AD3" s="178"/>
      <c r="AE3" s="178"/>
    </row>
    <row r="4" spans="1:32" ht="19" thickBot="1" x14ac:dyDescent="0.4">
      <c r="A4" s="152">
        <v>2</v>
      </c>
      <c r="B4" s="153" t="s">
        <v>187</v>
      </c>
      <c r="C4" s="202" t="s">
        <v>309</v>
      </c>
      <c r="D4" s="81"/>
      <c r="E4" s="16"/>
      <c r="F4" s="16"/>
      <c r="G4" s="16"/>
      <c r="H4" s="16"/>
      <c r="I4" s="16"/>
      <c r="J4" s="200"/>
      <c r="K4" s="3">
        <v>1</v>
      </c>
      <c r="L4" s="4"/>
      <c r="M4" s="4"/>
      <c r="N4" s="196"/>
      <c r="O4" s="18">
        <v>1</v>
      </c>
      <c r="P4" s="3">
        <v>1</v>
      </c>
      <c r="Q4" s="4"/>
      <c r="R4" s="4"/>
      <c r="S4" s="4"/>
      <c r="T4" s="4"/>
      <c r="U4" s="4"/>
      <c r="V4" s="4"/>
      <c r="W4" s="196"/>
      <c r="X4" s="4"/>
      <c r="Y4" s="4"/>
      <c r="Z4" s="1"/>
      <c r="AA4" s="1"/>
      <c r="AB4" s="1"/>
      <c r="AC4" s="1"/>
      <c r="AD4" s="1"/>
      <c r="AE4" s="1"/>
    </row>
    <row r="5" spans="1:32" ht="19" thickBot="1" x14ac:dyDescent="0.4">
      <c r="A5" s="157">
        <v>3</v>
      </c>
      <c r="B5" s="117" t="s">
        <v>188</v>
      </c>
      <c r="C5" s="117" t="s">
        <v>311</v>
      </c>
      <c r="D5" s="101"/>
      <c r="E5" s="4"/>
      <c r="F5" s="4"/>
      <c r="G5" s="37"/>
      <c r="H5" s="18">
        <v>1</v>
      </c>
      <c r="I5" s="37"/>
      <c r="J5" s="200"/>
      <c r="K5" s="37"/>
      <c r="L5" s="4"/>
      <c r="M5" s="4"/>
      <c r="N5" s="186"/>
      <c r="O5" s="4"/>
      <c r="P5" s="4"/>
      <c r="Q5" s="3">
        <v>1</v>
      </c>
      <c r="R5" s="4"/>
      <c r="S5" s="4"/>
      <c r="T5" s="3">
        <v>1</v>
      </c>
      <c r="U5" s="4"/>
      <c r="V5" s="4"/>
      <c r="W5" s="186"/>
      <c r="X5" s="4"/>
      <c r="Y5" s="4"/>
      <c r="Z5" s="1"/>
      <c r="AA5" s="1"/>
      <c r="AB5" s="1"/>
      <c r="AC5" s="178"/>
      <c r="AD5" s="178"/>
      <c r="AE5" s="178"/>
    </row>
    <row r="6" spans="1:32" ht="18.5" x14ac:dyDescent="0.35">
      <c r="A6" s="295">
        <v>4</v>
      </c>
      <c r="B6" s="102" t="s">
        <v>188</v>
      </c>
      <c r="C6" s="102" t="s">
        <v>301</v>
      </c>
      <c r="D6" s="81"/>
      <c r="E6" s="16"/>
      <c r="F6" s="16"/>
      <c r="G6" s="18">
        <v>1</v>
      </c>
      <c r="H6" s="4"/>
      <c r="I6" s="4"/>
      <c r="J6" s="200"/>
      <c r="K6" s="4"/>
      <c r="L6" s="4"/>
      <c r="M6" s="4"/>
      <c r="N6" s="196"/>
      <c r="O6" s="18">
        <v>1</v>
      </c>
      <c r="P6" s="3">
        <v>1</v>
      </c>
      <c r="Q6" s="4"/>
      <c r="R6" s="4"/>
      <c r="S6" s="4"/>
      <c r="T6" s="4"/>
      <c r="U6" s="4"/>
      <c r="V6" s="4"/>
      <c r="W6" s="196"/>
      <c r="X6" s="4"/>
      <c r="Y6" s="4"/>
      <c r="Z6" s="3">
        <v>1</v>
      </c>
      <c r="AA6" s="1"/>
      <c r="AB6" s="1"/>
      <c r="AC6" s="1"/>
      <c r="AD6" s="1"/>
      <c r="AE6" s="1"/>
    </row>
    <row r="7" spans="1:32" ht="19" thickBot="1" x14ac:dyDescent="0.4">
      <c r="A7" s="296"/>
      <c r="B7" s="104" t="s">
        <v>188</v>
      </c>
      <c r="C7" s="104" t="s">
        <v>248</v>
      </c>
      <c r="D7" s="79"/>
      <c r="E7" s="4"/>
      <c r="F7" s="4"/>
      <c r="G7" s="18">
        <v>1</v>
      </c>
      <c r="H7" s="4"/>
      <c r="I7" s="37"/>
      <c r="J7" s="200"/>
      <c r="K7" s="4"/>
      <c r="L7" s="4"/>
      <c r="M7" s="4"/>
      <c r="N7" s="196"/>
      <c r="O7" s="4"/>
      <c r="P7" s="4"/>
      <c r="Q7" s="3">
        <v>1</v>
      </c>
      <c r="R7" s="4"/>
      <c r="S7" s="4"/>
      <c r="T7" s="3">
        <v>1</v>
      </c>
      <c r="U7" s="4"/>
      <c r="V7" s="4"/>
      <c r="W7" s="196"/>
      <c r="X7" s="37"/>
      <c r="Y7" s="4"/>
      <c r="Z7" s="3">
        <v>1</v>
      </c>
      <c r="AA7" s="1"/>
      <c r="AB7" s="1"/>
      <c r="AC7" s="1"/>
      <c r="AD7" s="1"/>
      <c r="AE7" s="1"/>
    </row>
    <row r="8" spans="1:32" ht="18.5" x14ac:dyDescent="0.35">
      <c r="A8" s="293">
        <v>5</v>
      </c>
      <c r="B8" s="92" t="s">
        <v>189</v>
      </c>
      <c r="C8" s="92" t="s">
        <v>278</v>
      </c>
      <c r="D8" s="110"/>
      <c r="E8" s="18">
        <v>1</v>
      </c>
      <c r="F8" s="37"/>
      <c r="G8" s="18">
        <v>1</v>
      </c>
      <c r="H8" s="4"/>
      <c r="I8" s="4"/>
      <c r="J8" s="200"/>
      <c r="K8" s="4"/>
      <c r="L8" s="3">
        <v>1</v>
      </c>
      <c r="M8" s="18">
        <v>1</v>
      </c>
      <c r="N8" s="186"/>
      <c r="O8" s="4"/>
      <c r="P8" s="4"/>
      <c r="Q8" s="4"/>
      <c r="R8" s="4"/>
      <c r="S8" s="4"/>
      <c r="T8" s="3">
        <v>1</v>
      </c>
      <c r="U8" s="3">
        <v>1</v>
      </c>
      <c r="V8" s="18">
        <v>1</v>
      </c>
      <c r="W8" s="186"/>
      <c r="X8" s="3">
        <v>1</v>
      </c>
      <c r="Y8" s="4"/>
      <c r="Z8" s="3">
        <v>1</v>
      </c>
      <c r="AA8" s="1"/>
      <c r="AB8" s="1"/>
      <c r="AC8" s="178"/>
      <c r="AD8" s="178"/>
      <c r="AE8" s="178"/>
    </row>
    <row r="9" spans="1:32" ht="19" thickBot="1" x14ac:dyDescent="0.4">
      <c r="A9" s="294"/>
      <c r="B9" s="96" t="s">
        <v>189</v>
      </c>
      <c r="C9" s="96" t="s">
        <v>259</v>
      </c>
      <c r="D9" s="101"/>
      <c r="E9" s="4"/>
      <c r="F9" s="4"/>
      <c r="G9" s="4"/>
      <c r="H9" s="3">
        <v>1</v>
      </c>
      <c r="I9" s="4"/>
      <c r="J9" s="200"/>
      <c r="K9" s="4"/>
      <c r="L9" s="4"/>
      <c r="M9" s="4"/>
      <c r="N9" s="186"/>
      <c r="O9" s="4"/>
      <c r="P9" s="3">
        <v>1</v>
      </c>
      <c r="Q9" s="4"/>
      <c r="R9" s="4"/>
      <c r="S9" s="3">
        <v>1</v>
      </c>
      <c r="T9" s="3">
        <v>1</v>
      </c>
      <c r="U9" s="3">
        <v>1</v>
      </c>
      <c r="V9" s="18">
        <v>1</v>
      </c>
      <c r="W9" s="186"/>
      <c r="X9" s="3">
        <v>1</v>
      </c>
      <c r="Y9" s="4"/>
      <c r="Z9" s="3">
        <v>1</v>
      </c>
      <c r="AA9" s="1"/>
      <c r="AB9" s="1"/>
      <c r="AC9" s="178"/>
      <c r="AD9" s="178"/>
      <c r="AE9" s="178"/>
    </row>
    <row r="10" spans="1:32" ht="19" thickBot="1" x14ac:dyDescent="0.4">
      <c r="A10" s="157">
        <v>6</v>
      </c>
      <c r="B10" s="91" t="s">
        <v>190</v>
      </c>
      <c r="C10" s="91" t="s">
        <v>191</v>
      </c>
      <c r="D10" s="91"/>
      <c r="E10" s="4"/>
      <c r="F10" s="4"/>
      <c r="G10" s="4"/>
      <c r="H10" s="4"/>
      <c r="I10" s="4"/>
      <c r="J10" s="196"/>
      <c r="K10" s="4"/>
      <c r="L10" s="4"/>
      <c r="M10" s="4"/>
      <c r="N10" s="196"/>
      <c r="O10" s="18">
        <v>1</v>
      </c>
      <c r="P10" s="4"/>
      <c r="Q10" s="4"/>
      <c r="R10" s="4"/>
      <c r="S10" s="4"/>
      <c r="T10" s="4"/>
      <c r="U10" s="3">
        <v>1</v>
      </c>
      <c r="V10" s="4"/>
      <c r="W10" s="196"/>
      <c r="X10" s="4"/>
      <c r="Y10" s="3">
        <v>1</v>
      </c>
      <c r="Z10" s="1"/>
      <c r="AA10" s="1"/>
      <c r="AB10" s="1"/>
      <c r="AC10" s="1"/>
      <c r="AD10" s="1"/>
      <c r="AE10" s="1"/>
    </row>
    <row r="11" spans="1:32" ht="18.5" x14ac:dyDescent="0.35">
      <c r="A11" s="293">
        <v>7</v>
      </c>
      <c r="B11" s="92" t="s">
        <v>192</v>
      </c>
      <c r="C11" s="92" t="s">
        <v>386</v>
      </c>
      <c r="D11" s="110"/>
      <c r="E11" s="16"/>
      <c r="F11" s="16"/>
      <c r="G11" s="16"/>
      <c r="H11" s="16"/>
      <c r="I11" s="16"/>
      <c r="J11" s="200"/>
      <c r="K11" s="16"/>
      <c r="L11" s="16"/>
      <c r="M11" s="18">
        <v>1</v>
      </c>
      <c r="N11" s="186"/>
      <c r="O11" s="4"/>
      <c r="P11" s="4"/>
      <c r="Q11" s="4"/>
      <c r="R11" s="4"/>
      <c r="S11" s="4"/>
      <c r="T11" s="4"/>
      <c r="U11" s="4"/>
      <c r="V11" s="4"/>
      <c r="W11" s="186"/>
      <c r="X11" s="4"/>
      <c r="Y11" s="4"/>
      <c r="Z11" s="1"/>
      <c r="AA11" s="1"/>
      <c r="AB11" s="1"/>
      <c r="AC11" s="178"/>
      <c r="AD11" s="178"/>
      <c r="AE11" s="178"/>
    </row>
    <row r="12" spans="1:32" ht="19" thickBot="1" x14ac:dyDescent="0.4">
      <c r="A12" s="294"/>
      <c r="B12" s="96" t="s">
        <v>192</v>
      </c>
      <c r="C12" s="96" t="s">
        <v>298</v>
      </c>
      <c r="D12" s="101"/>
      <c r="E12" s="18">
        <v>1</v>
      </c>
      <c r="F12" s="3">
        <v>1</v>
      </c>
      <c r="G12" s="18">
        <v>1</v>
      </c>
      <c r="H12" s="3">
        <v>1</v>
      </c>
      <c r="I12" s="3">
        <v>1</v>
      </c>
      <c r="J12" s="200"/>
      <c r="K12" s="4"/>
      <c r="L12" s="18">
        <v>1</v>
      </c>
      <c r="M12" s="18">
        <v>1</v>
      </c>
      <c r="N12" s="186"/>
      <c r="O12" s="4"/>
      <c r="P12" s="18">
        <v>1</v>
      </c>
      <c r="Q12" s="3">
        <v>1</v>
      </c>
      <c r="R12" s="4"/>
      <c r="S12" s="4"/>
      <c r="T12" s="4"/>
      <c r="U12" s="18">
        <v>1</v>
      </c>
      <c r="V12" s="18">
        <v>1</v>
      </c>
      <c r="W12" s="186"/>
      <c r="X12" s="3">
        <v>1</v>
      </c>
      <c r="Y12" s="3">
        <v>1</v>
      </c>
      <c r="Z12" s="3">
        <v>1</v>
      </c>
      <c r="AA12" s="1"/>
      <c r="AB12" s="1"/>
      <c r="AC12" s="178"/>
      <c r="AD12" s="178"/>
      <c r="AE12" s="178"/>
    </row>
    <row r="13" spans="1:32" ht="19" thickBot="1" x14ac:dyDescent="0.4">
      <c r="A13" s="157">
        <v>8</v>
      </c>
      <c r="B13" s="91" t="s">
        <v>192</v>
      </c>
      <c r="C13" s="91" t="s">
        <v>193</v>
      </c>
      <c r="D13" s="91"/>
      <c r="E13" s="16"/>
      <c r="F13" s="16"/>
      <c r="G13" s="16"/>
      <c r="H13" s="3">
        <v>1</v>
      </c>
      <c r="I13" s="18">
        <v>1</v>
      </c>
      <c r="J13" s="200"/>
      <c r="K13" s="4"/>
      <c r="L13" s="4"/>
      <c r="M13" s="4"/>
      <c r="N13" s="196"/>
      <c r="O13" s="3">
        <v>1</v>
      </c>
      <c r="P13" s="37"/>
      <c r="Q13" s="3">
        <v>1</v>
      </c>
      <c r="R13" s="18">
        <v>1</v>
      </c>
      <c r="S13" s="37"/>
      <c r="T13" s="4"/>
      <c r="U13" s="4"/>
      <c r="V13" s="18">
        <v>1</v>
      </c>
      <c r="W13" s="196"/>
      <c r="X13" s="37"/>
      <c r="Y13" s="4"/>
      <c r="Z13" s="3">
        <v>1</v>
      </c>
      <c r="AA13" s="1"/>
      <c r="AB13" s="1"/>
      <c r="AC13" s="1"/>
      <c r="AD13" s="1"/>
      <c r="AE13" s="1"/>
    </row>
    <row r="14" spans="1:32" ht="18.5" x14ac:dyDescent="0.35">
      <c r="A14" s="293">
        <v>9</v>
      </c>
      <c r="B14" s="92" t="s">
        <v>194</v>
      </c>
      <c r="C14" s="92" t="s">
        <v>280</v>
      </c>
      <c r="D14" s="110"/>
      <c r="E14" s="16"/>
      <c r="F14" s="16"/>
      <c r="G14" s="16"/>
      <c r="H14" s="16"/>
      <c r="I14" s="16"/>
      <c r="J14" s="200"/>
      <c r="K14" s="16"/>
      <c r="L14" s="3">
        <v>1</v>
      </c>
      <c r="M14" s="4"/>
      <c r="N14" s="186"/>
      <c r="O14" s="18">
        <v>1</v>
      </c>
      <c r="P14" s="4"/>
      <c r="Q14" s="3">
        <v>1</v>
      </c>
      <c r="R14" s="18">
        <v>1</v>
      </c>
      <c r="S14" s="3">
        <v>1</v>
      </c>
      <c r="T14" s="4"/>
      <c r="U14" s="4"/>
      <c r="V14" s="4"/>
      <c r="W14" s="186"/>
      <c r="X14" s="4"/>
      <c r="Y14" s="4"/>
      <c r="Z14" s="1"/>
      <c r="AA14" s="1"/>
      <c r="AB14" s="1"/>
      <c r="AC14" s="178"/>
      <c r="AD14" s="178"/>
      <c r="AE14" s="178"/>
    </row>
    <row r="15" spans="1:32" ht="19" thickBot="1" x14ac:dyDescent="0.4">
      <c r="A15" s="294"/>
      <c r="B15" s="96" t="s">
        <v>194</v>
      </c>
      <c r="C15" s="96" t="s">
        <v>45</v>
      </c>
      <c r="D15" s="101"/>
      <c r="E15" s="18">
        <v>1</v>
      </c>
      <c r="F15" s="4"/>
      <c r="G15" s="4"/>
      <c r="H15" s="4"/>
      <c r="I15" s="4"/>
      <c r="J15" s="200"/>
      <c r="K15" s="4"/>
      <c r="L15" s="3">
        <v>1</v>
      </c>
      <c r="M15" s="4"/>
      <c r="N15" s="186"/>
      <c r="O15" s="18">
        <v>1</v>
      </c>
      <c r="P15" s="18">
        <v>1</v>
      </c>
      <c r="Q15" s="4"/>
      <c r="R15" s="4"/>
      <c r="S15" s="3">
        <v>1</v>
      </c>
      <c r="T15" s="4"/>
      <c r="U15" s="4"/>
      <c r="V15" s="3">
        <v>1</v>
      </c>
      <c r="W15" s="186"/>
      <c r="X15" s="4"/>
      <c r="Y15" s="4"/>
      <c r="Z15" s="1"/>
      <c r="AA15" s="1"/>
      <c r="AB15" s="1"/>
      <c r="AC15" s="178"/>
      <c r="AD15" s="178"/>
      <c r="AE15" s="178"/>
    </row>
    <row r="16" spans="1:32" ht="19" thickBot="1" x14ac:dyDescent="0.4">
      <c r="A16" s="157">
        <v>10</v>
      </c>
      <c r="B16" s="91" t="s">
        <v>195</v>
      </c>
      <c r="C16" s="91" t="s">
        <v>196</v>
      </c>
      <c r="D16" s="91"/>
      <c r="E16" s="4"/>
      <c r="F16" s="4"/>
      <c r="G16" s="4"/>
      <c r="H16" s="3">
        <v>1</v>
      </c>
      <c r="I16" s="4"/>
      <c r="J16" s="200"/>
      <c r="K16" s="4"/>
      <c r="L16" s="4"/>
      <c r="M16" s="4"/>
      <c r="N16" s="196"/>
      <c r="O16" s="4"/>
      <c r="P16" s="4"/>
      <c r="Q16" s="4"/>
      <c r="R16" s="4"/>
      <c r="S16" s="4"/>
      <c r="T16" s="4"/>
      <c r="U16" s="4"/>
      <c r="V16" s="4"/>
      <c r="W16" s="196"/>
      <c r="X16" s="4"/>
      <c r="Y16" s="4"/>
      <c r="Z16" s="1"/>
      <c r="AA16" s="1"/>
      <c r="AB16" s="1"/>
      <c r="AC16" s="1"/>
      <c r="AD16" s="1"/>
      <c r="AE16" s="1"/>
    </row>
    <row r="17" spans="1:31" ht="18.5" x14ac:dyDescent="0.35">
      <c r="A17" s="293">
        <v>11</v>
      </c>
      <c r="B17" s="83" t="s">
        <v>197</v>
      </c>
      <c r="C17" s="83" t="s">
        <v>281</v>
      </c>
      <c r="D17" s="192"/>
      <c r="E17" s="4"/>
      <c r="F17" s="4"/>
      <c r="G17" s="4"/>
      <c r="H17" s="4"/>
      <c r="I17" s="4"/>
      <c r="J17" s="197"/>
      <c r="K17" s="4"/>
      <c r="L17" s="4"/>
      <c r="M17" s="4"/>
      <c r="N17" s="197"/>
      <c r="O17" s="4"/>
      <c r="P17" s="4"/>
      <c r="Q17" s="4"/>
      <c r="R17" s="178"/>
      <c r="S17" s="178"/>
      <c r="T17" s="4"/>
      <c r="U17" s="4"/>
      <c r="V17" s="4"/>
      <c r="W17" s="197"/>
      <c r="X17" s="4"/>
      <c r="Y17" s="4"/>
      <c r="Z17" s="1"/>
      <c r="AA17" s="1"/>
      <c r="AB17" s="1"/>
      <c r="AC17" s="178"/>
      <c r="AD17" s="178"/>
      <c r="AE17" s="178"/>
    </row>
    <row r="18" spans="1:31" ht="19" thickBot="1" x14ac:dyDescent="0.4">
      <c r="A18" s="294"/>
      <c r="B18" s="86" t="s">
        <v>197</v>
      </c>
      <c r="C18" s="86" t="s">
        <v>330</v>
      </c>
      <c r="D18" s="193"/>
      <c r="E18" s="3">
        <v>1</v>
      </c>
      <c r="F18" s="4"/>
      <c r="G18" s="4"/>
      <c r="H18" s="3">
        <v>1</v>
      </c>
      <c r="I18" s="4"/>
      <c r="J18" s="200"/>
      <c r="K18" s="4"/>
      <c r="L18" s="4"/>
      <c r="M18" s="3">
        <v>1</v>
      </c>
      <c r="N18" s="197"/>
      <c r="O18" s="4"/>
      <c r="P18" s="3">
        <v>1</v>
      </c>
      <c r="Q18" s="4"/>
      <c r="R18" s="3">
        <v>1</v>
      </c>
      <c r="S18" s="3">
        <v>1</v>
      </c>
      <c r="T18" s="3">
        <v>1</v>
      </c>
      <c r="U18" s="18">
        <v>1</v>
      </c>
      <c r="V18" s="4"/>
      <c r="W18" s="197"/>
      <c r="X18" s="4"/>
      <c r="Y18" s="4"/>
      <c r="Z18" s="1"/>
      <c r="AA18" s="1"/>
      <c r="AB18" s="1"/>
      <c r="AC18" s="178"/>
      <c r="AD18" s="178"/>
      <c r="AE18" s="178"/>
    </row>
    <row r="19" spans="1:31" ht="18.5" x14ac:dyDescent="0.35">
      <c r="A19" s="155">
        <v>12</v>
      </c>
      <c r="B19" s="81" t="s">
        <v>198</v>
      </c>
      <c r="C19" s="81" t="s">
        <v>199</v>
      </c>
      <c r="D19" s="81"/>
      <c r="E19" s="18">
        <v>1</v>
      </c>
      <c r="F19" s="3">
        <v>1</v>
      </c>
      <c r="G19" s="3">
        <v>1</v>
      </c>
      <c r="H19" s="3">
        <v>1</v>
      </c>
      <c r="I19" s="4"/>
      <c r="J19" s="200"/>
      <c r="K19" s="4"/>
      <c r="L19" s="4"/>
      <c r="M19" s="3">
        <v>1</v>
      </c>
      <c r="N19" s="196"/>
      <c r="O19" s="4"/>
      <c r="P19" s="4"/>
      <c r="Q19" s="4"/>
      <c r="R19" s="4"/>
      <c r="S19" s="4"/>
      <c r="T19" s="4"/>
      <c r="U19" s="4"/>
      <c r="V19" s="4"/>
      <c r="W19" s="196"/>
      <c r="X19" s="3">
        <v>1</v>
      </c>
      <c r="Y19" s="3">
        <v>1</v>
      </c>
      <c r="Z19" s="1"/>
      <c r="AA19" s="1"/>
      <c r="AB19" s="1"/>
      <c r="AC19" s="1"/>
      <c r="AD19" s="1"/>
      <c r="AE19" s="1"/>
    </row>
    <row r="20" spans="1:31" ht="19" thickBot="1" x14ac:dyDescent="0.4">
      <c r="A20" s="160">
        <f t="shared" ref="A20:A82" si="0">A19+1</f>
        <v>13</v>
      </c>
      <c r="B20" s="101" t="s">
        <v>200</v>
      </c>
      <c r="C20" s="101" t="s">
        <v>201</v>
      </c>
      <c r="D20" s="101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6"/>
      <c r="P20" s="3">
        <v>1</v>
      </c>
      <c r="Q20" s="3">
        <v>1</v>
      </c>
      <c r="R20" s="3">
        <v>1</v>
      </c>
      <c r="S20" s="4"/>
      <c r="T20" s="4"/>
      <c r="U20" s="4"/>
      <c r="V20" s="4"/>
      <c r="W20" s="186"/>
      <c r="X20" s="4"/>
      <c r="Y20" s="4"/>
      <c r="Z20" s="1"/>
      <c r="AA20" s="1"/>
      <c r="AB20" s="1"/>
      <c r="AC20" s="178"/>
      <c r="AD20" s="178"/>
      <c r="AE20" s="178"/>
    </row>
    <row r="21" spans="1:31" ht="18.5" x14ac:dyDescent="0.35">
      <c r="A21" s="295">
        <f t="shared" si="0"/>
        <v>14</v>
      </c>
      <c r="B21" s="102" t="s">
        <v>202</v>
      </c>
      <c r="C21" s="102" t="s">
        <v>282</v>
      </c>
      <c r="D21" s="81"/>
      <c r="E21" s="3">
        <v>1</v>
      </c>
      <c r="F21" s="3">
        <v>1</v>
      </c>
      <c r="G21" s="3">
        <v>1</v>
      </c>
      <c r="H21" s="4"/>
      <c r="I21" s="18">
        <v>1</v>
      </c>
      <c r="J21" s="200"/>
      <c r="K21" s="3">
        <v>1</v>
      </c>
      <c r="L21" s="3">
        <v>1</v>
      </c>
      <c r="M21" s="4"/>
      <c r="N21" s="196"/>
      <c r="O21" s="18">
        <v>1</v>
      </c>
      <c r="P21" s="3">
        <v>1</v>
      </c>
      <c r="Q21" s="3">
        <v>1</v>
      </c>
      <c r="R21" s="4"/>
      <c r="S21" s="3">
        <v>1</v>
      </c>
      <c r="T21" s="3">
        <v>1</v>
      </c>
      <c r="U21" s="3">
        <v>1</v>
      </c>
      <c r="V21" s="3">
        <v>1</v>
      </c>
      <c r="W21" s="196"/>
      <c r="X21" s="3">
        <v>1</v>
      </c>
      <c r="Y21" s="3">
        <v>1</v>
      </c>
      <c r="Z21" s="1"/>
      <c r="AA21" s="1"/>
      <c r="AB21" s="1"/>
      <c r="AC21" s="1"/>
      <c r="AD21" s="1"/>
      <c r="AE21" s="1"/>
    </row>
    <row r="22" spans="1:31" ht="19" thickBot="1" x14ac:dyDescent="0.4">
      <c r="A22" s="296"/>
      <c r="B22" s="104" t="s">
        <v>202</v>
      </c>
      <c r="C22" s="104" t="s">
        <v>260</v>
      </c>
      <c r="D22" s="79"/>
      <c r="E22" s="16"/>
      <c r="F22" s="16"/>
      <c r="G22" s="16"/>
      <c r="H22" s="16"/>
      <c r="I22" s="16"/>
      <c r="J22" s="16"/>
      <c r="K22" s="16"/>
      <c r="L22" s="16"/>
      <c r="M22" s="16"/>
      <c r="N22" s="196"/>
      <c r="O22" s="4"/>
      <c r="P22" s="4"/>
      <c r="Q22" s="4"/>
      <c r="R22" s="4"/>
      <c r="S22" s="4"/>
      <c r="T22" s="4"/>
      <c r="U22" s="4"/>
      <c r="V22" s="4"/>
      <c r="W22" s="196"/>
      <c r="X22" s="4"/>
      <c r="Y22" s="4"/>
      <c r="Z22" s="1"/>
      <c r="AA22" s="1"/>
      <c r="AB22" s="1"/>
      <c r="AC22" s="1"/>
      <c r="AD22" s="1"/>
      <c r="AE22" s="1"/>
    </row>
    <row r="23" spans="1:31" ht="19" thickBot="1" x14ac:dyDescent="0.4">
      <c r="A23" s="157">
        <f>A21+1</f>
        <v>15</v>
      </c>
      <c r="B23" s="91" t="s">
        <v>356</v>
      </c>
      <c r="C23" s="91" t="s">
        <v>357</v>
      </c>
      <c r="D23" s="91"/>
      <c r="E23" s="16"/>
      <c r="F23" s="16"/>
      <c r="G23" s="16"/>
      <c r="H23" s="16"/>
      <c r="I23" s="16"/>
      <c r="J23" s="16"/>
      <c r="K23" s="16"/>
      <c r="L23" s="16"/>
      <c r="M23" s="16"/>
      <c r="N23" s="196"/>
      <c r="O23" s="16"/>
      <c r="P23" s="16"/>
      <c r="Q23" s="16"/>
      <c r="R23" s="16"/>
      <c r="S23" s="16"/>
      <c r="T23" s="3">
        <v>1</v>
      </c>
      <c r="U23" s="3">
        <v>1</v>
      </c>
      <c r="V23" s="18">
        <v>1</v>
      </c>
      <c r="W23" s="196"/>
      <c r="X23" s="4"/>
      <c r="Y23" s="3">
        <v>1</v>
      </c>
      <c r="Z23" s="3">
        <v>1</v>
      </c>
      <c r="AA23" s="1"/>
      <c r="AB23" s="1"/>
      <c r="AC23" s="1"/>
      <c r="AD23" s="1"/>
      <c r="AE23" s="1"/>
    </row>
    <row r="24" spans="1:31" ht="19" thickBot="1" x14ac:dyDescent="0.4">
      <c r="A24" s="144">
        <f>A23+1</f>
        <v>16</v>
      </c>
      <c r="B24" s="145" t="s">
        <v>203</v>
      </c>
      <c r="C24" s="203" t="s">
        <v>204</v>
      </c>
      <c r="D24" s="110"/>
      <c r="E24" s="4"/>
      <c r="F24" s="18">
        <v>1</v>
      </c>
      <c r="G24" s="4"/>
      <c r="H24" s="4"/>
      <c r="I24" s="4"/>
      <c r="J24" s="200"/>
      <c r="K24" s="4"/>
      <c r="L24" s="4"/>
      <c r="M24" s="18">
        <v>1</v>
      </c>
      <c r="N24" s="186"/>
      <c r="O24" s="4"/>
      <c r="P24" s="4"/>
      <c r="Q24" s="3">
        <v>1</v>
      </c>
      <c r="R24" s="4"/>
      <c r="S24" s="3">
        <v>1</v>
      </c>
      <c r="T24" s="3">
        <v>1</v>
      </c>
      <c r="U24" s="3">
        <v>1</v>
      </c>
      <c r="V24" s="18">
        <v>1</v>
      </c>
      <c r="W24" s="186"/>
      <c r="X24" s="3">
        <v>1</v>
      </c>
      <c r="Y24" s="4"/>
      <c r="Z24" s="3">
        <v>1</v>
      </c>
      <c r="AA24" s="1"/>
      <c r="AB24" s="1"/>
      <c r="AC24" s="178"/>
      <c r="AD24" s="178"/>
      <c r="AE24" s="178"/>
    </row>
    <row r="25" spans="1:31" ht="19" thickBot="1" x14ac:dyDescent="0.4">
      <c r="A25" s="175">
        <f t="shared" si="0"/>
        <v>17</v>
      </c>
      <c r="B25" s="165" t="s">
        <v>205</v>
      </c>
      <c r="C25" s="165" t="s">
        <v>206</v>
      </c>
      <c r="D25" s="79"/>
      <c r="E25" s="4"/>
      <c r="F25" s="4"/>
      <c r="G25" s="4"/>
      <c r="H25" s="3">
        <v>1</v>
      </c>
      <c r="I25" s="3">
        <v>1</v>
      </c>
      <c r="J25" s="200"/>
      <c r="K25" s="4"/>
      <c r="L25" s="3">
        <v>1</v>
      </c>
      <c r="M25" s="4"/>
      <c r="N25" s="196"/>
      <c r="O25" s="4"/>
      <c r="P25" s="4"/>
      <c r="Q25" s="4"/>
      <c r="R25" s="4"/>
      <c r="S25" s="4"/>
      <c r="T25" s="4"/>
      <c r="U25" s="4"/>
      <c r="V25" s="1"/>
      <c r="W25" s="196"/>
      <c r="X25" s="3">
        <v>1</v>
      </c>
      <c r="Y25" s="3">
        <v>1</v>
      </c>
      <c r="Z25" s="1"/>
      <c r="AA25" s="1"/>
      <c r="AB25" s="1"/>
      <c r="AC25" s="1"/>
      <c r="AD25" s="1"/>
      <c r="AE25" s="1"/>
    </row>
    <row r="26" spans="1:31" ht="18.5" x14ac:dyDescent="0.35">
      <c r="A26" s="293">
        <f>A25+1</f>
        <v>18</v>
      </c>
      <c r="B26" s="92" t="s">
        <v>207</v>
      </c>
      <c r="C26" s="92" t="s">
        <v>283</v>
      </c>
      <c r="D26" s="110"/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200"/>
      <c r="K26" s="3">
        <v>1</v>
      </c>
      <c r="L26" s="3">
        <v>1</v>
      </c>
      <c r="M26" s="3">
        <v>1</v>
      </c>
      <c r="N26" s="186"/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18">
        <v>1</v>
      </c>
      <c r="V26" s="3">
        <v>1</v>
      </c>
      <c r="W26" s="186"/>
      <c r="X26" s="3">
        <v>1</v>
      </c>
      <c r="Y26" s="3">
        <v>1</v>
      </c>
      <c r="Z26" s="3">
        <v>1</v>
      </c>
      <c r="AA26" s="1"/>
      <c r="AB26" s="1"/>
      <c r="AC26" s="178"/>
      <c r="AD26" s="178"/>
      <c r="AE26" s="178"/>
    </row>
    <row r="27" spans="1:31" ht="19" thickBot="1" x14ac:dyDescent="0.4">
      <c r="A27" s="294"/>
      <c r="B27" s="96" t="s">
        <v>207</v>
      </c>
      <c r="C27" s="96" t="s">
        <v>261</v>
      </c>
      <c r="D27" s="101"/>
      <c r="E27" s="3">
        <v>1</v>
      </c>
      <c r="F27" s="3">
        <v>1</v>
      </c>
      <c r="G27" s="3">
        <v>1</v>
      </c>
      <c r="H27" s="4"/>
      <c r="I27" s="4"/>
      <c r="J27" s="200"/>
      <c r="K27" s="3">
        <v>1</v>
      </c>
      <c r="L27" s="3">
        <v>1</v>
      </c>
      <c r="M27" s="3">
        <v>1</v>
      </c>
      <c r="N27" s="186"/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4"/>
      <c r="V27" s="3">
        <v>1</v>
      </c>
      <c r="W27" s="186"/>
      <c r="X27" s="3">
        <v>1</v>
      </c>
      <c r="Y27" s="3">
        <v>1</v>
      </c>
      <c r="Z27" s="3">
        <v>1</v>
      </c>
      <c r="AA27" s="1"/>
      <c r="AB27" s="1"/>
      <c r="AC27" s="178"/>
      <c r="AD27" s="178"/>
      <c r="AE27" s="178"/>
    </row>
    <row r="28" spans="1:31" ht="18.5" x14ac:dyDescent="0.35">
      <c r="A28" s="297">
        <f>A26+1</f>
        <v>19</v>
      </c>
      <c r="B28" s="81" t="s">
        <v>208</v>
      </c>
      <c r="C28" s="81" t="s">
        <v>381</v>
      </c>
      <c r="D28" s="81"/>
      <c r="E28" s="4"/>
      <c r="F28" s="4"/>
      <c r="G28" s="4"/>
      <c r="H28" s="4"/>
      <c r="I28" s="4"/>
      <c r="J28" s="200"/>
      <c r="K28" s="4"/>
      <c r="L28" s="4"/>
      <c r="M28" s="4"/>
      <c r="N28" s="196"/>
      <c r="O28" s="4"/>
      <c r="P28" s="3">
        <v>1</v>
      </c>
      <c r="Q28" s="4"/>
      <c r="R28" s="4"/>
      <c r="S28" s="4"/>
      <c r="T28" s="4"/>
      <c r="U28" s="4"/>
      <c r="V28" s="4"/>
      <c r="W28" s="196"/>
      <c r="X28" s="4"/>
      <c r="Y28" s="3">
        <v>1</v>
      </c>
      <c r="Z28" s="1"/>
      <c r="AA28" s="1"/>
      <c r="AB28" s="1"/>
      <c r="AC28" s="1"/>
      <c r="AD28" s="1"/>
      <c r="AE28" s="1"/>
    </row>
    <row r="29" spans="1:31" ht="19" thickBot="1" x14ac:dyDescent="0.4">
      <c r="A29" s="298"/>
      <c r="B29" s="79" t="s">
        <v>208</v>
      </c>
      <c r="C29" s="79" t="s">
        <v>380</v>
      </c>
      <c r="D29" s="79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4"/>
      <c r="P29" s="4"/>
      <c r="Q29" s="4"/>
      <c r="R29" s="4"/>
      <c r="S29" s="4"/>
      <c r="T29" s="4"/>
      <c r="U29" s="4"/>
      <c r="V29" s="4"/>
      <c r="W29" s="196"/>
      <c r="X29" s="4"/>
      <c r="Y29" s="3">
        <v>1</v>
      </c>
      <c r="Z29" s="3">
        <v>1</v>
      </c>
      <c r="AA29" s="1"/>
      <c r="AB29" s="1"/>
      <c r="AC29" s="1"/>
      <c r="AD29" s="1"/>
      <c r="AE29" s="1"/>
    </row>
    <row r="30" spans="1:31" ht="18.5" x14ac:dyDescent="0.35">
      <c r="A30" s="293">
        <f>A28+1</f>
        <v>20</v>
      </c>
      <c r="B30" s="92" t="s">
        <v>209</v>
      </c>
      <c r="C30" s="92" t="s">
        <v>285</v>
      </c>
      <c r="D30" s="110"/>
      <c r="E30" s="3">
        <v>1</v>
      </c>
      <c r="F30" s="37"/>
      <c r="G30" s="3">
        <v>1</v>
      </c>
      <c r="H30" s="4"/>
      <c r="I30" s="4"/>
      <c r="J30" s="200"/>
      <c r="K30" s="4"/>
      <c r="L30" s="4"/>
      <c r="M30" s="4"/>
      <c r="N30" s="186"/>
      <c r="O30" s="3">
        <v>1</v>
      </c>
      <c r="P30" s="37"/>
      <c r="Q30" s="3">
        <v>1</v>
      </c>
      <c r="R30" s="4"/>
      <c r="S30" s="3">
        <v>1</v>
      </c>
      <c r="T30" s="4"/>
      <c r="U30" s="4"/>
      <c r="V30" s="4"/>
      <c r="W30" s="186"/>
      <c r="X30" s="4"/>
      <c r="Y30" s="4"/>
      <c r="Z30" s="1"/>
      <c r="AA30" s="1"/>
      <c r="AB30" s="1"/>
      <c r="AC30" s="178"/>
      <c r="AD30" s="178"/>
      <c r="AE30" s="178"/>
    </row>
    <row r="31" spans="1:31" ht="19" thickBot="1" x14ac:dyDescent="0.4">
      <c r="A31" s="294"/>
      <c r="B31" s="96" t="s">
        <v>209</v>
      </c>
      <c r="C31" s="96" t="s">
        <v>263</v>
      </c>
      <c r="D31" s="101"/>
      <c r="E31" s="3">
        <v>1</v>
      </c>
      <c r="F31" s="37"/>
      <c r="G31" s="4"/>
      <c r="H31" s="4"/>
      <c r="I31" s="37"/>
      <c r="J31" s="200"/>
      <c r="K31" s="4"/>
      <c r="L31" s="4"/>
      <c r="M31" s="4"/>
      <c r="N31" s="186"/>
      <c r="O31" s="4"/>
      <c r="P31" s="4"/>
      <c r="Q31" s="3">
        <v>1</v>
      </c>
      <c r="R31" s="4"/>
      <c r="S31" s="3">
        <v>1</v>
      </c>
      <c r="T31" s="4"/>
      <c r="U31" s="4"/>
      <c r="V31" s="4"/>
      <c r="W31" s="186"/>
      <c r="X31" s="4"/>
      <c r="Y31" s="4"/>
      <c r="Z31" s="1"/>
      <c r="AA31" s="1"/>
      <c r="AB31" s="1"/>
      <c r="AC31" s="178"/>
      <c r="AD31" s="178"/>
      <c r="AE31" s="178"/>
    </row>
    <row r="32" spans="1:31" ht="19" thickBot="1" x14ac:dyDescent="0.4">
      <c r="A32" s="157">
        <f>A30+1</f>
        <v>21</v>
      </c>
      <c r="B32" s="91" t="s">
        <v>210</v>
      </c>
      <c r="C32" s="91" t="s">
        <v>211</v>
      </c>
      <c r="D32" s="91"/>
      <c r="E32" s="3">
        <v>1</v>
      </c>
      <c r="F32" s="3">
        <v>1</v>
      </c>
      <c r="G32" s="4"/>
      <c r="H32" s="3">
        <v>1</v>
      </c>
      <c r="I32" s="3">
        <v>1</v>
      </c>
      <c r="J32" s="200"/>
      <c r="K32" s="3">
        <v>1</v>
      </c>
      <c r="L32" s="3">
        <v>1</v>
      </c>
      <c r="M32" s="3">
        <v>1</v>
      </c>
      <c r="N32" s="196"/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4"/>
      <c r="U32" s="3">
        <v>1</v>
      </c>
      <c r="V32" s="3">
        <v>1</v>
      </c>
      <c r="W32" s="196"/>
      <c r="X32" s="3">
        <v>1</v>
      </c>
      <c r="Y32" s="4"/>
      <c r="Z32" s="3">
        <v>1</v>
      </c>
      <c r="AA32" s="1"/>
      <c r="AB32" s="1"/>
      <c r="AC32" s="1"/>
      <c r="AD32" s="1"/>
      <c r="AE32" s="1"/>
    </row>
    <row r="33" spans="1:36" ht="18.5" x14ac:dyDescent="0.35">
      <c r="A33" s="293">
        <f t="shared" si="0"/>
        <v>22</v>
      </c>
      <c r="B33" s="92" t="s">
        <v>212</v>
      </c>
      <c r="C33" s="92" t="s">
        <v>286</v>
      </c>
      <c r="D33" s="110"/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200"/>
      <c r="K33" s="3">
        <v>1</v>
      </c>
      <c r="L33" s="3">
        <v>1</v>
      </c>
      <c r="M33" s="3">
        <v>1</v>
      </c>
      <c r="N33" s="186"/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186"/>
      <c r="X33" s="3">
        <v>1</v>
      </c>
      <c r="Y33" s="3">
        <v>1</v>
      </c>
      <c r="Z33" s="37"/>
      <c r="AA33" s="1"/>
      <c r="AB33" s="1"/>
      <c r="AC33" s="178"/>
      <c r="AD33" s="178"/>
      <c r="AE33" s="178"/>
    </row>
    <row r="34" spans="1:36" ht="19" thickBot="1" x14ac:dyDescent="0.4">
      <c r="A34" s="294"/>
      <c r="B34" s="96" t="s">
        <v>212</v>
      </c>
      <c r="C34" s="96" t="s">
        <v>304</v>
      </c>
      <c r="D34" s="101"/>
      <c r="E34" s="4"/>
      <c r="F34" s="37"/>
      <c r="G34" s="37"/>
      <c r="H34" s="3">
        <v>1</v>
      </c>
      <c r="I34" s="4"/>
      <c r="J34" s="200"/>
      <c r="K34" s="3">
        <v>1</v>
      </c>
      <c r="L34" s="3">
        <v>1</v>
      </c>
      <c r="M34" s="3">
        <v>1</v>
      </c>
      <c r="N34" s="186"/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186"/>
      <c r="X34" s="3">
        <v>1</v>
      </c>
      <c r="Y34" s="3">
        <v>1</v>
      </c>
      <c r="Z34" s="37"/>
      <c r="AA34" s="1"/>
      <c r="AB34" s="1"/>
      <c r="AC34" s="178"/>
      <c r="AD34" s="178"/>
      <c r="AE34" s="178"/>
    </row>
    <row r="35" spans="1:36" ht="18.5" x14ac:dyDescent="0.35">
      <c r="A35" s="291">
        <f>A33+1</f>
        <v>23</v>
      </c>
      <c r="B35" s="81" t="s">
        <v>322</v>
      </c>
      <c r="C35" s="81" t="s">
        <v>321</v>
      </c>
      <c r="D35" s="81"/>
      <c r="E35" s="16"/>
      <c r="F35" s="16"/>
      <c r="G35" s="16"/>
      <c r="H35" s="16"/>
      <c r="I35" s="16"/>
      <c r="J35" s="16"/>
      <c r="K35" s="16"/>
      <c r="L35" s="16"/>
      <c r="M35" s="16"/>
      <c r="N35" s="186"/>
      <c r="O35" s="16"/>
      <c r="P35" s="16"/>
      <c r="Q35" s="3">
        <v>1</v>
      </c>
      <c r="R35" s="18">
        <v>1</v>
      </c>
      <c r="S35" s="3">
        <v>1</v>
      </c>
      <c r="T35" s="4"/>
      <c r="U35" s="4"/>
      <c r="V35" s="37"/>
      <c r="W35" s="196"/>
      <c r="X35" s="4"/>
      <c r="Y35" s="4"/>
      <c r="Z35" s="1"/>
      <c r="AA35" s="1"/>
      <c r="AB35" s="1"/>
      <c r="AC35" s="178"/>
      <c r="AD35" s="178"/>
      <c r="AE35" s="178"/>
    </row>
    <row r="36" spans="1:36" ht="19" thickBot="1" x14ac:dyDescent="0.4">
      <c r="A36" s="292"/>
      <c r="B36" s="79" t="s">
        <v>322</v>
      </c>
      <c r="C36" s="79" t="s">
        <v>323</v>
      </c>
      <c r="D36" s="79"/>
      <c r="E36" s="16"/>
      <c r="F36" s="16"/>
      <c r="G36" s="16"/>
      <c r="H36" s="16"/>
      <c r="I36" s="16"/>
      <c r="J36" s="16"/>
      <c r="K36" s="16"/>
      <c r="L36" s="16"/>
      <c r="M36" s="16"/>
      <c r="N36" s="186"/>
      <c r="O36" s="16"/>
      <c r="P36" s="16"/>
      <c r="Q36" s="3">
        <v>1</v>
      </c>
      <c r="R36" s="4"/>
      <c r="S36" s="4"/>
      <c r="T36" s="4"/>
      <c r="U36" s="4"/>
      <c r="V36" s="37"/>
      <c r="W36" s="196"/>
      <c r="X36" s="4"/>
      <c r="Y36" s="4"/>
      <c r="Z36" s="1"/>
      <c r="AA36" s="1"/>
      <c r="AB36" s="1"/>
      <c r="AC36" s="178"/>
      <c r="AD36" s="178"/>
      <c r="AE36" s="178"/>
    </row>
    <row r="37" spans="1:36" ht="18.5" x14ac:dyDescent="0.35">
      <c r="A37" s="308">
        <f>A35+1</f>
        <v>24</v>
      </c>
      <c r="B37" s="188" t="s">
        <v>329</v>
      </c>
      <c r="C37" s="189" t="s">
        <v>358</v>
      </c>
      <c r="D37" s="194"/>
      <c r="E37" s="16"/>
      <c r="F37" s="16"/>
      <c r="G37" s="16"/>
      <c r="H37" s="16"/>
      <c r="I37" s="16"/>
      <c r="J37" s="16"/>
      <c r="K37" s="16"/>
      <c r="L37" s="16"/>
      <c r="M37" s="16"/>
      <c r="N37" s="186"/>
      <c r="O37" s="16"/>
      <c r="P37" s="16"/>
      <c r="Q37" s="16"/>
      <c r="R37" s="18">
        <v>1</v>
      </c>
      <c r="S37" s="3">
        <v>1</v>
      </c>
      <c r="T37" s="4"/>
      <c r="U37" s="3">
        <v>1</v>
      </c>
      <c r="V37" s="4"/>
      <c r="W37" s="186"/>
      <c r="X37" s="3">
        <v>1</v>
      </c>
      <c r="Y37" s="4"/>
      <c r="Z37" s="1"/>
      <c r="AA37" s="1"/>
      <c r="AB37" s="1"/>
      <c r="AC37" s="178"/>
      <c r="AD37" s="178"/>
      <c r="AE37" s="178"/>
    </row>
    <row r="38" spans="1:36" ht="19" thickBot="1" x14ac:dyDescent="0.4">
      <c r="A38" s="309"/>
      <c r="B38" s="190" t="s">
        <v>329</v>
      </c>
      <c r="C38" s="191" t="s">
        <v>372</v>
      </c>
      <c r="D38" s="195"/>
      <c r="E38" s="16"/>
      <c r="F38" s="16"/>
      <c r="G38" s="16"/>
      <c r="H38" s="16"/>
      <c r="I38" s="16"/>
      <c r="J38" s="16"/>
      <c r="K38" s="16"/>
      <c r="L38" s="16"/>
      <c r="M38" s="16"/>
      <c r="N38" s="186"/>
      <c r="O38" s="16"/>
      <c r="P38" s="16"/>
      <c r="Q38" s="16"/>
      <c r="R38" s="18"/>
      <c r="S38" s="3"/>
      <c r="T38" s="4"/>
      <c r="U38" s="3"/>
      <c r="V38" s="4"/>
      <c r="W38" s="186"/>
      <c r="X38" s="37"/>
      <c r="Y38" s="4"/>
      <c r="Z38" s="1"/>
      <c r="AA38" s="1"/>
      <c r="AB38" s="1"/>
      <c r="AC38" s="178"/>
      <c r="AD38" s="178"/>
      <c r="AE38" s="178"/>
    </row>
    <row r="39" spans="1:36" ht="18.5" x14ac:dyDescent="0.35">
      <c r="A39" s="297">
        <f>A37+1</f>
        <v>25</v>
      </c>
      <c r="B39" s="81" t="s">
        <v>213</v>
      </c>
      <c r="C39" s="81" t="s">
        <v>287</v>
      </c>
      <c r="D39" s="81"/>
      <c r="E39" s="3">
        <v>1</v>
      </c>
      <c r="F39" s="3">
        <v>1</v>
      </c>
      <c r="G39" s="4"/>
      <c r="H39" s="3">
        <v>1</v>
      </c>
      <c r="I39" s="3">
        <v>1</v>
      </c>
      <c r="J39" s="200"/>
      <c r="K39" s="3">
        <v>1</v>
      </c>
      <c r="L39" s="3">
        <v>1</v>
      </c>
      <c r="M39" s="18">
        <v>1</v>
      </c>
      <c r="N39" s="186"/>
      <c r="O39" s="37"/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18">
        <v>1</v>
      </c>
      <c r="W39" s="196"/>
      <c r="X39" s="37"/>
      <c r="Y39" s="3">
        <v>1</v>
      </c>
      <c r="Z39" s="3">
        <v>1</v>
      </c>
      <c r="AA39" s="1"/>
      <c r="AB39" s="1"/>
      <c r="AC39" s="1"/>
      <c r="AD39" s="1"/>
      <c r="AE39" s="1"/>
    </row>
    <row r="40" spans="1:36" ht="19" thickBot="1" x14ac:dyDescent="0.4">
      <c r="A40" s="298"/>
      <c r="B40" s="79" t="s">
        <v>213</v>
      </c>
      <c r="C40" s="79" t="s">
        <v>264</v>
      </c>
      <c r="D40" s="79"/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200"/>
      <c r="K40" s="3">
        <v>1</v>
      </c>
      <c r="L40" s="3">
        <v>1</v>
      </c>
      <c r="M40" s="18">
        <v>1</v>
      </c>
      <c r="N40" s="196"/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18">
        <v>1</v>
      </c>
      <c r="W40" s="196"/>
      <c r="X40" s="3">
        <v>1</v>
      </c>
      <c r="Y40" s="3">
        <v>1</v>
      </c>
      <c r="Z40" s="3">
        <v>1</v>
      </c>
      <c r="AA40" s="1"/>
      <c r="AB40" s="1"/>
      <c r="AC40" s="1"/>
      <c r="AD40" s="1"/>
      <c r="AE40" s="1"/>
    </row>
    <row r="41" spans="1:36" ht="18.5" x14ac:dyDescent="0.35">
      <c r="A41" s="299">
        <f>A39+1</f>
        <v>26</v>
      </c>
      <c r="B41" s="164" t="s">
        <v>343</v>
      </c>
      <c r="C41" s="164" t="s">
        <v>355</v>
      </c>
      <c r="D41" s="91"/>
      <c r="E41" s="16"/>
      <c r="F41" s="16"/>
      <c r="G41" s="16"/>
      <c r="H41" s="16"/>
      <c r="I41" s="16"/>
      <c r="J41" s="16"/>
      <c r="K41" s="16"/>
      <c r="L41" s="16"/>
      <c r="M41" s="16"/>
      <c r="N41" s="196"/>
      <c r="O41" s="16"/>
      <c r="P41" s="16"/>
      <c r="Q41" s="16"/>
      <c r="R41" s="16"/>
      <c r="S41" s="16"/>
      <c r="T41" s="3">
        <v>1</v>
      </c>
      <c r="U41" s="3">
        <v>1</v>
      </c>
      <c r="V41" s="4"/>
      <c r="W41" s="196"/>
      <c r="X41" s="3">
        <v>1</v>
      </c>
      <c r="Y41" s="3">
        <v>1</v>
      </c>
      <c r="Z41" s="1"/>
      <c r="AA41" s="1"/>
      <c r="AB41" s="1"/>
      <c r="AC41" s="1"/>
      <c r="AD41" s="1"/>
      <c r="AE41" s="1"/>
    </row>
    <row r="42" spans="1:36" ht="19" thickBot="1" x14ac:dyDescent="0.4">
      <c r="A42" s="300"/>
      <c r="B42" s="165" t="s">
        <v>343</v>
      </c>
      <c r="C42" s="165" t="s">
        <v>344</v>
      </c>
      <c r="D42" s="91"/>
      <c r="E42" s="16"/>
      <c r="F42" s="16"/>
      <c r="G42" s="16"/>
      <c r="H42" s="16"/>
      <c r="I42" s="16"/>
      <c r="J42" s="16"/>
      <c r="K42" s="16"/>
      <c r="L42" s="16"/>
      <c r="M42" s="16"/>
      <c r="N42" s="196"/>
      <c r="O42" s="16"/>
      <c r="P42" s="16"/>
      <c r="Q42" s="16"/>
      <c r="R42" s="16"/>
      <c r="S42" s="16"/>
      <c r="T42" s="3">
        <v>1</v>
      </c>
      <c r="U42" s="3">
        <v>1</v>
      </c>
      <c r="V42" s="4"/>
      <c r="W42" s="196"/>
      <c r="X42" s="3">
        <v>1</v>
      </c>
      <c r="Y42" s="3">
        <v>1</v>
      </c>
      <c r="Z42" s="3">
        <v>1</v>
      </c>
      <c r="AA42" s="1"/>
      <c r="AB42" s="1"/>
      <c r="AC42" s="1"/>
      <c r="AD42" s="1"/>
      <c r="AE42" s="1"/>
      <c r="AJ42" s="31"/>
    </row>
    <row r="43" spans="1:36" ht="18.5" x14ac:dyDescent="0.35">
      <c r="A43" s="293">
        <f>A41+1</f>
        <v>27</v>
      </c>
      <c r="B43" s="92" t="s">
        <v>214</v>
      </c>
      <c r="C43" s="92" t="s">
        <v>288</v>
      </c>
      <c r="D43" s="110"/>
      <c r="E43" s="4"/>
      <c r="F43" s="4"/>
      <c r="G43" s="4"/>
      <c r="H43" s="4"/>
      <c r="I43" s="4"/>
      <c r="J43" s="200"/>
      <c r="K43" s="4"/>
      <c r="L43" s="4"/>
      <c r="M43" s="4"/>
      <c r="N43" s="186"/>
      <c r="O43" s="18">
        <v>1</v>
      </c>
      <c r="P43" s="18">
        <v>1</v>
      </c>
      <c r="Q43" s="4"/>
      <c r="R43" s="4"/>
      <c r="S43" s="3">
        <v>1</v>
      </c>
      <c r="T43" s="4"/>
      <c r="U43" s="4"/>
      <c r="V43" s="3">
        <v>1</v>
      </c>
      <c r="W43" s="186"/>
      <c r="X43" s="3">
        <v>1</v>
      </c>
      <c r="Y43" s="4"/>
      <c r="Z43" s="1"/>
      <c r="AA43" s="1"/>
      <c r="AB43" s="1"/>
      <c r="AC43" s="178"/>
      <c r="AD43" s="178"/>
      <c r="AE43" s="178"/>
    </row>
    <row r="44" spans="1:36" ht="19" thickBot="1" x14ac:dyDescent="0.4">
      <c r="A44" s="294"/>
      <c r="B44" s="96" t="s">
        <v>214</v>
      </c>
      <c r="C44" s="96" t="s">
        <v>265</v>
      </c>
      <c r="D44" s="101"/>
      <c r="E44" s="4"/>
      <c r="F44" s="4"/>
      <c r="G44" s="4"/>
      <c r="H44" s="3">
        <v>1</v>
      </c>
      <c r="I44" s="18">
        <v>1</v>
      </c>
      <c r="J44" s="200"/>
      <c r="K44" s="4"/>
      <c r="L44" s="3">
        <v>1</v>
      </c>
      <c r="M44" s="4"/>
      <c r="N44" s="186"/>
      <c r="O44" s="18">
        <v>1</v>
      </c>
      <c r="P44" s="18">
        <v>1</v>
      </c>
      <c r="Q44" s="3">
        <v>1</v>
      </c>
      <c r="R44" s="18">
        <v>1</v>
      </c>
      <c r="S44" s="3">
        <v>1</v>
      </c>
      <c r="T44" s="4"/>
      <c r="U44" s="4"/>
      <c r="V44" s="3">
        <v>1</v>
      </c>
      <c r="W44" s="186"/>
      <c r="X44" s="3">
        <v>1</v>
      </c>
      <c r="Y44" s="4"/>
      <c r="Z44" s="3">
        <v>1</v>
      </c>
      <c r="AA44" s="1"/>
      <c r="AB44" s="1"/>
      <c r="AC44" s="178"/>
      <c r="AD44" s="178"/>
      <c r="AE44" s="178"/>
    </row>
    <row r="45" spans="1:36" ht="19" thickBot="1" x14ac:dyDescent="0.4">
      <c r="A45" s="157">
        <f>A43+1</f>
        <v>28</v>
      </c>
      <c r="B45" s="91" t="s">
        <v>215</v>
      </c>
      <c r="C45" s="91" t="s">
        <v>216</v>
      </c>
      <c r="D45" s="91"/>
      <c r="E45" s="18">
        <v>1</v>
      </c>
      <c r="F45" s="4"/>
      <c r="G45" s="37"/>
      <c r="H45" s="18">
        <v>1</v>
      </c>
      <c r="I45" s="4"/>
      <c r="J45" s="200"/>
      <c r="K45" s="4"/>
      <c r="L45" s="4"/>
      <c r="M45" s="4"/>
      <c r="N45" s="196"/>
      <c r="O45" s="18">
        <v>1</v>
      </c>
      <c r="P45" s="4"/>
      <c r="Q45" s="3">
        <v>1</v>
      </c>
      <c r="R45" s="4"/>
      <c r="S45" s="4"/>
      <c r="T45" s="4"/>
      <c r="U45" s="18">
        <v>1</v>
      </c>
      <c r="V45" s="4"/>
      <c r="W45" s="196"/>
      <c r="X45" s="4"/>
      <c r="Y45" s="4"/>
      <c r="Z45" s="1"/>
      <c r="AA45" s="1"/>
      <c r="AB45" s="1"/>
      <c r="AC45" s="1"/>
      <c r="AD45" s="1"/>
      <c r="AE45" s="1"/>
    </row>
    <row r="46" spans="1:36" ht="19" thickBot="1" x14ac:dyDescent="0.4">
      <c r="A46" s="144">
        <f t="shared" si="0"/>
        <v>29</v>
      </c>
      <c r="B46" s="145" t="s">
        <v>215</v>
      </c>
      <c r="C46" s="145" t="s">
        <v>303</v>
      </c>
      <c r="D46" s="117"/>
      <c r="E46" s="4"/>
      <c r="F46" s="4"/>
      <c r="G46" s="3">
        <v>1</v>
      </c>
      <c r="H46" s="3">
        <v>1</v>
      </c>
      <c r="I46" s="4"/>
      <c r="J46" s="200"/>
      <c r="K46" s="4"/>
      <c r="L46" s="3">
        <v>1</v>
      </c>
      <c r="M46" s="18">
        <v>1</v>
      </c>
      <c r="N46" s="186"/>
      <c r="O46" s="4"/>
      <c r="P46" s="4"/>
      <c r="Q46" s="3">
        <v>1</v>
      </c>
      <c r="R46" s="4"/>
      <c r="S46" s="3">
        <v>1</v>
      </c>
      <c r="T46" s="4"/>
      <c r="U46" s="4"/>
      <c r="V46" s="4"/>
      <c r="W46" s="186"/>
      <c r="X46" s="4"/>
      <c r="Y46" s="4"/>
      <c r="Z46" s="1"/>
      <c r="AA46" s="1"/>
      <c r="AB46" s="1"/>
      <c r="AC46" s="178"/>
      <c r="AD46" s="178"/>
      <c r="AE46" s="178"/>
    </row>
    <row r="47" spans="1:36" ht="19" thickBot="1" x14ac:dyDescent="0.4">
      <c r="A47" s="157">
        <f t="shared" si="0"/>
        <v>30</v>
      </c>
      <c r="B47" s="91" t="s">
        <v>215</v>
      </c>
      <c r="C47" s="91" t="s">
        <v>307</v>
      </c>
      <c r="D47" s="91"/>
      <c r="E47" s="3">
        <v>1</v>
      </c>
      <c r="F47" s="4"/>
      <c r="G47" s="3">
        <v>1</v>
      </c>
      <c r="H47" s="18">
        <v>1</v>
      </c>
      <c r="I47" s="4"/>
      <c r="J47" s="200"/>
      <c r="K47" s="4"/>
      <c r="L47" s="4"/>
      <c r="M47" s="4"/>
      <c r="N47" s="196"/>
      <c r="O47" s="3">
        <v>1</v>
      </c>
      <c r="P47" s="4"/>
      <c r="Q47" s="3">
        <v>1</v>
      </c>
      <c r="R47" s="3">
        <v>1</v>
      </c>
      <c r="S47" s="4"/>
      <c r="T47" s="4"/>
      <c r="U47" s="4"/>
      <c r="V47" s="3">
        <v>1</v>
      </c>
      <c r="W47" s="196"/>
      <c r="X47" s="4"/>
      <c r="Y47" s="4"/>
      <c r="Z47" s="1"/>
      <c r="AA47" s="1"/>
      <c r="AB47" s="1"/>
      <c r="AC47" s="1"/>
      <c r="AD47" s="1"/>
      <c r="AE47" s="1"/>
    </row>
    <row r="48" spans="1:36" ht="18.5" x14ac:dyDescent="0.35">
      <c r="A48" s="293">
        <f t="shared" si="0"/>
        <v>31</v>
      </c>
      <c r="B48" s="92" t="s">
        <v>217</v>
      </c>
      <c r="C48" s="92" t="s">
        <v>289</v>
      </c>
      <c r="D48" s="110"/>
      <c r="E48" s="4"/>
      <c r="F48" s="4"/>
      <c r="G48" s="18">
        <v>1</v>
      </c>
      <c r="H48" s="4"/>
      <c r="I48" s="18">
        <v>1</v>
      </c>
      <c r="J48" s="200"/>
      <c r="K48" s="3">
        <v>1</v>
      </c>
      <c r="L48" s="18">
        <v>1</v>
      </c>
      <c r="M48" s="4"/>
      <c r="N48" s="186"/>
      <c r="O48" s="4"/>
      <c r="P48" s="18">
        <v>1</v>
      </c>
      <c r="Q48" s="3">
        <v>1</v>
      </c>
      <c r="R48" s="18">
        <v>1</v>
      </c>
      <c r="S48" s="3">
        <v>1</v>
      </c>
      <c r="T48" s="4"/>
      <c r="U48" s="3">
        <v>1</v>
      </c>
      <c r="V48" s="18">
        <v>1</v>
      </c>
      <c r="W48" s="186"/>
      <c r="X48" s="3">
        <v>1</v>
      </c>
      <c r="Y48" s="3">
        <v>1</v>
      </c>
      <c r="Z48" s="3">
        <v>1</v>
      </c>
      <c r="AA48" s="1"/>
      <c r="AB48" s="1"/>
      <c r="AC48" s="178"/>
      <c r="AD48" s="178"/>
      <c r="AE48" s="178"/>
    </row>
    <row r="49" spans="1:31" ht="19" thickBot="1" x14ac:dyDescent="0.4">
      <c r="A49" s="294"/>
      <c r="B49" s="96" t="s">
        <v>217</v>
      </c>
      <c r="C49" s="96" t="s">
        <v>385</v>
      </c>
      <c r="D49" s="101"/>
      <c r="E49" s="18">
        <v>1</v>
      </c>
      <c r="F49" s="4"/>
      <c r="G49" s="4"/>
      <c r="H49" s="4"/>
      <c r="I49" s="18">
        <v>1</v>
      </c>
      <c r="J49" s="200"/>
      <c r="K49" s="3">
        <v>1</v>
      </c>
      <c r="L49" s="18">
        <v>1</v>
      </c>
      <c r="M49" s="4"/>
      <c r="N49" s="186"/>
      <c r="O49" s="4"/>
      <c r="P49" s="18">
        <v>1</v>
      </c>
      <c r="Q49" s="4"/>
      <c r="R49" s="4"/>
      <c r="S49" s="4"/>
      <c r="T49" s="4"/>
      <c r="U49" s="4"/>
      <c r="V49" s="18">
        <v>1</v>
      </c>
      <c r="W49" s="186"/>
      <c r="X49" s="3">
        <v>1</v>
      </c>
      <c r="Y49" s="4"/>
      <c r="Z49" s="3">
        <v>1</v>
      </c>
      <c r="AA49" s="1"/>
      <c r="AB49" s="1"/>
      <c r="AC49" s="178"/>
      <c r="AD49" s="178"/>
      <c r="AE49" s="178"/>
    </row>
    <row r="50" spans="1:31" ht="19" thickBot="1" x14ac:dyDescent="0.4">
      <c r="A50" s="157">
        <f>A48+1</f>
        <v>32</v>
      </c>
      <c r="B50" s="91" t="s">
        <v>218</v>
      </c>
      <c r="C50" s="91" t="s">
        <v>219</v>
      </c>
      <c r="D50" s="91"/>
      <c r="E50" s="16"/>
      <c r="F50" s="16"/>
      <c r="G50" s="16"/>
      <c r="H50" s="16"/>
      <c r="I50" s="16"/>
      <c r="J50" s="16"/>
      <c r="K50" s="16"/>
      <c r="L50" s="16"/>
      <c r="M50" s="16"/>
      <c r="N50" s="196"/>
      <c r="O50" s="16"/>
      <c r="P50" s="3">
        <v>1</v>
      </c>
      <c r="Q50" s="4"/>
      <c r="R50" s="4"/>
      <c r="S50" s="4"/>
      <c r="T50" s="4"/>
      <c r="U50" s="4"/>
      <c r="V50" s="4"/>
      <c r="W50" s="196"/>
      <c r="X50" s="3">
        <v>1</v>
      </c>
      <c r="Y50" s="4"/>
      <c r="Z50" s="1"/>
      <c r="AA50" s="1"/>
      <c r="AB50" s="1"/>
      <c r="AC50" s="1"/>
      <c r="AD50" s="1"/>
      <c r="AE50" s="1"/>
    </row>
    <row r="51" spans="1:31" ht="18.5" x14ac:dyDescent="0.35">
      <c r="A51" s="293">
        <f t="shared" si="0"/>
        <v>33</v>
      </c>
      <c r="B51" s="92" t="s">
        <v>299</v>
      </c>
      <c r="C51" s="92" t="s">
        <v>300</v>
      </c>
      <c r="D51" s="110"/>
      <c r="E51" s="18">
        <v>1</v>
      </c>
      <c r="F51" s="4"/>
      <c r="G51" s="18">
        <v>1</v>
      </c>
      <c r="H51" s="3">
        <v>1</v>
      </c>
      <c r="I51" s="3">
        <v>1</v>
      </c>
      <c r="J51" s="200"/>
      <c r="K51" s="4"/>
      <c r="L51" s="4"/>
      <c r="M51" s="18">
        <v>1</v>
      </c>
      <c r="N51" s="186"/>
      <c r="O51" s="4"/>
      <c r="P51" s="3">
        <v>1</v>
      </c>
      <c r="Q51" s="3">
        <v>1</v>
      </c>
      <c r="R51" s="4"/>
      <c r="S51" s="4"/>
      <c r="T51" s="4"/>
      <c r="U51" s="4"/>
      <c r="V51" s="4"/>
      <c r="W51" s="186"/>
      <c r="X51" s="3">
        <v>1</v>
      </c>
      <c r="Y51" s="4"/>
      <c r="Z51" s="1"/>
      <c r="AA51" s="1"/>
      <c r="AB51" s="1"/>
      <c r="AC51" s="178"/>
      <c r="AD51" s="178"/>
      <c r="AE51" s="178"/>
    </row>
    <row r="52" spans="1:31" ht="19" thickBot="1" x14ac:dyDescent="0.4">
      <c r="A52" s="294"/>
      <c r="B52" s="96" t="s">
        <v>299</v>
      </c>
      <c r="C52" s="96" t="s">
        <v>267</v>
      </c>
      <c r="D52" s="101"/>
      <c r="E52" s="18">
        <v>1</v>
      </c>
      <c r="F52" s="3">
        <v>1</v>
      </c>
      <c r="G52" s="18">
        <v>1</v>
      </c>
      <c r="H52" s="3">
        <v>1</v>
      </c>
      <c r="I52" s="3">
        <v>1</v>
      </c>
      <c r="J52" s="200"/>
      <c r="K52" s="3">
        <v>1</v>
      </c>
      <c r="L52" s="4"/>
      <c r="M52" s="18">
        <v>1</v>
      </c>
      <c r="N52" s="186"/>
      <c r="O52" s="4"/>
      <c r="P52" s="3">
        <v>1</v>
      </c>
      <c r="Q52" s="3">
        <v>1</v>
      </c>
      <c r="R52" s="4"/>
      <c r="S52" s="3">
        <v>1</v>
      </c>
      <c r="T52" s="4"/>
      <c r="U52" s="4"/>
      <c r="V52" s="3">
        <v>1</v>
      </c>
      <c r="W52" s="186"/>
      <c r="X52" s="3">
        <v>1</v>
      </c>
      <c r="Y52" s="3">
        <v>1</v>
      </c>
      <c r="Z52" s="3">
        <v>1</v>
      </c>
      <c r="AA52" s="1"/>
      <c r="AB52" s="1"/>
      <c r="AC52" s="178"/>
      <c r="AD52" s="178"/>
      <c r="AE52" s="178"/>
    </row>
    <row r="53" spans="1:31" ht="18.5" x14ac:dyDescent="0.35">
      <c r="A53" s="297">
        <f>A51+1</f>
        <v>34</v>
      </c>
      <c r="B53" s="81" t="s">
        <v>220</v>
      </c>
      <c r="C53" s="81" t="s">
        <v>290</v>
      </c>
      <c r="D53" s="81"/>
      <c r="E53" s="4"/>
      <c r="F53" s="4"/>
      <c r="G53" s="37"/>
      <c r="H53" s="18">
        <v>1</v>
      </c>
      <c r="I53" s="3">
        <v>1</v>
      </c>
      <c r="J53" s="200"/>
      <c r="K53" s="3">
        <v>1</v>
      </c>
      <c r="L53" s="3">
        <v>1</v>
      </c>
      <c r="M53" s="3">
        <v>1</v>
      </c>
      <c r="N53" s="196"/>
      <c r="O53" s="3">
        <v>1</v>
      </c>
      <c r="P53" s="4"/>
      <c r="Q53" s="3">
        <v>1</v>
      </c>
      <c r="R53" s="4"/>
      <c r="S53" s="3">
        <v>1</v>
      </c>
      <c r="T53" s="4"/>
      <c r="U53" s="3">
        <v>1</v>
      </c>
      <c r="V53" s="3">
        <v>1</v>
      </c>
      <c r="W53" s="196"/>
      <c r="X53" s="3">
        <v>1</v>
      </c>
      <c r="Y53" s="4"/>
      <c r="Z53" s="1"/>
      <c r="AA53" s="1"/>
      <c r="AB53" s="1"/>
      <c r="AC53" s="1"/>
      <c r="AD53" s="1"/>
      <c r="AE53" s="1"/>
    </row>
    <row r="54" spans="1:31" ht="19" thickBot="1" x14ac:dyDescent="0.4">
      <c r="A54" s="298"/>
      <c r="B54" s="79" t="s">
        <v>220</v>
      </c>
      <c r="C54" s="79" t="s">
        <v>268</v>
      </c>
      <c r="D54" s="79"/>
      <c r="E54" s="16"/>
      <c r="F54" s="16"/>
      <c r="G54" s="16"/>
      <c r="H54" s="3">
        <v>1</v>
      </c>
      <c r="I54" s="3">
        <v>1</v>
      </c>
      <c r="J54" s="200"/>
      <c r="K54" s="3">
        <v>1</v>
      </c>
      <c r="L54" s="3">
        <v>1</v>
      </c>
      <c r="M54" s="4"/>
      <c r="N54" s="196"/>
      <c r="O54" s="3">
        <v>1</v>
      </c>
      <c r="P54" s="4"/>
      <c r="Q54" s="3">
        <v>1</v>
      </c>
      <c r="R54" s="4"/>
      <c r="S54" s="3">
        <v>1</v>
      </c>
      <c r="T54" s="4"/>
      <c r="U54" s="4"/>
      <c r="V54" s="4"/>
      <c r="W54" s="196"/>
      <c r="X54" s="4"/>
      <c r="Y54" s="4"/>
      <c r="Z54" s="1"/>
      <c r="AA54" s="1"/>
      <c r="AB54" s="1"/>
      <c r="AC54" s="1"/>
      <c r="AD54" s="1"/>
      <c r="AE54" s="1"/>
    </row>
    <row r="55" spans="1:31" ht="18.5" x14ac:dyDescent="0.35">
      <c r="A55" s="293">
        <f>A53+1</f>
        <v>35</v>
      </c>
      <c r="B55" s="92" t="s">
        <v>221</v>
      </c>
      <c r="C55" s="92" t="s">
        <v>296</v>
      </c>
      <c r="D55" s="110"/>
      <c r="E55" s="4"/>
      <c r="F55" s="4"/>
      <c r="G55" s="4"/>
      <c r="H55" s="4"/>
      <c r="I55" s="18">
        <v>1</v>
      </c>
      <c r="J55" s="200"/>
      <c r="K55" s="3">
        <v>1</v>
      </c>
      <c r="L55" s="3">
        <v>1</v>
      </c>
      <c r="M55" s="4"/>
      <c r="N55" s="186"/>
      <c r="O55" s="3">
        <v>1</v>
      </c>
      <c r="P55" s="18">
        <v>1</v>
      </c>
      <c r="Q55" s="3">
        <v>1</v>
      </c>
      <c r="R55" s="4"/>
      <c r="S55" s="3">
        <v>1</v>
      </c>
      <c r="T55" s="3">
        <v>1</v>
      </c>
      <c r="U55" s="3">
        <v>1</v>
      </c>
      <c r="V55" s="4"/>
      <c r="W55" s="186"/>
      <c r="X55" s="4"/>
      <c r="Y55" s="3">
        <v>1</v>
      </c>
      <c r="Z55" s="3">
        <v>1</v>
      </c>
      <c r="AA55" s="1"/>
      <c r="AB55" s="1"/>
      <c r="AC55" s="178"/>
      <c r="AD55" s="178"/>
      <c r="AE55" s="178"/>
    </row>
    <row r="56" spans="1:31" ht="19" thickBot="1" x14ac:dyDescent="0.4">
      <c r="A56" s="294"/>
      <c r="B56" s="96" t="s">
        <v>221</v>
      </c>
      <c r="C56" s="96" t="s">
        <v>362</v>
      </c>
      <c r="D56" s="101"/>
      <c r="E56" s="4"/>
      <c r="F56" s="4"/>
      <c r="G56" s="4"/>
      <c r="H56" s="18">
        <v>1</v>
      </c>
      <c r="I56" s="18">
        <v>1</v>
      </c>
      <c r="J56" s="200"/>
      <c r="K56" s="4"/>
      <c r="L56" s="4"/>
      <c r="M56" s="4"/>
      <c r="N56" s="186"/>
      <c r="O56" s="4"/>
      <c r="P56" s="18">
        <v>1</v>
      </c>
      <c r="Q56" s="3">
        <v>1</v>
      </c>
      <c r="R56" s="4"/>
      <c r="S56" s="3">
        <v>1</v>
      </c>
      <c r="T56" s="4"/>
      <c r="U56" s="4"/>
      <c r="V56" s="4"/>
      <c r="W56" s="186"/>
      <c r="X56" s="3">
        <v>1</v>
      </c>
      <c r="Y56" s="4"/>
      <c r="Z56" s="1"/>
      <c r="AA56" s="1"/>
      <c r="AB56" s="1"/>
      <c r="AC56" s="178"/>
      <c r="AD56" s="178"/>
      <c r="AE56" s="178"/>
    </row>
    <row r="57" spans="1:31" ht="19" thickBot="1" x14ac:dyDescent="0.4">
      <c r="A57" s="157">
        <f>A55+1</f>
        <v>36</v>
      </c>
      <c r="B57" s="91" t="s">
        <v>221</v>
      </c>
      <c r="C57" s="91" t="s">
        <v>222</v>
      </c>
      <c r="D57" s="91"/>
      <c r="E57" s="16"/>
      <c r="F57" s="16"/>
      <c r="G57" s="16"/>
      <c r="H57" s="16"/>
      <c r="I57" s="16"/>
      <c r="J57" s="200"/>
      <c r="K57" s="16"/>
      <c r="L57" s="3">
        <v>1</v>
      </c>
      <c r="M57" s="4"/>
      <c r="N57" s="196"/>
      <c r="O57" s="4"/>
      <c r="P57" s="18">
        <v>1</v>
      </c>
      <c r="Q57" s="4"/>
      <c r="R57" s="4"/>
      <c r="S57" s="4"/>
      <c r="T57" s="3">
        <v>1</v>
      </c>
      <c r="U57" s="4"/>
      <c r="V57" s="37"/>
      <c r="W57" s="196"/>
      <c r="X57" s="4"/>
      <c r="Y57" s="4"/>
      <c r="Z57" s="1"/>
      <c r="AA57" s="1"/>
      <c r="AB57" s="1"/>
      <c r="AC57" s="1"/>
      <c r="AD57" s="1"/>
      <c r="AE57" s="1"/>
    </row>
    <row r="58" spans="1:31" ht="19" thickBot="1" x14ac:dyDescent="0.4">
      <c r="A58" s="144">
        <f t="shared" si="0"/>
        <v>37</v>
      </c>
      <c r="B58" s="145" t="s">
        <v>223</v>
      </c>
      <c r="C58" s="145" t="s">
        <v>224</v>
      </c>
      <c r="D58" s="117"/>
      <c r="E58" s="4"/>
      <c r="F58" s="4"/>
      <c r="G58" s="4"/>
      <c r="H58" s="4"/>
      <c r="I58" s="18">
        <v>1</v>
      </c>
      <c r="J58" s="200"/>
      <c r="K58" s="4"/>
      <c r="L58" s="4"/>
      <c r="M58" s="4"/>
      <c r="N58" s="186"/>
      <c r="O58" s="4"/>
      <c r="P58" s="4"/>
      <c r="Q58" s="4"/>
      <c r="R58" s="4"/>
      <c r="S58" s="4"/>
      <c r="T58" s="4"/>
      <c r="U58" s="4"/>
      <c r="V58" s="4"/>
      <c r="W58" s="186"/>
      <c r="X58" s="4"/>
      <c r="Y58" s="4"/>
      <c r="Z58" s="1"/>
      <c r="AA58" s="1"/>
      <c r="AB58" s="1"/>
      <c r="AC58" s="178"/>
      <c r="AD58" s="178"/>
      <c r="AE58" s="178"/>
    </row>
    <row r="59" spans="1:31" ht="19" thickBot="1" x14ac:dyDescent="0.4">
      <c r="A59" s="157">
        <f t="shared" si="0"/>
        <v>38</v>
      </c>
      <c r="B59" s="91" t="s">
        <v>225</v>
      </c>
      <c r="C59" s="91" t="s">
        <v>226</v>
      </c>
      <c r="D59" s="91"/>
      <c r="E59" s="4"/>
      <c r="F59" s="4"/>
      <c r="G59" s="4"/>
      <c r="H59" s="4"/>
      <c r="I59" s="4"/>
      <c r="J59" s="200"/>
      <c r="K59" s="4"/>
      <c r="L59" s="4"/>
      <c r="M59" s="4"/>
      <c r="N59" s="196"/>
      <c r="O59" s="4"/>
      <c r="P59" s="4"/>
      <c r="Q59" s="4"/>
      <c r="R59" s="4"/>
      <c r="S59" s="4"/>
      <c r="T59" s="4"/>
      <c r="U59" s="4"/>
      <c r="V59" s="4"/>
      <c r="W59" s="196"/>
      <c r="X59" s="4"/>
      <c r="Y59" s="4"/>
      <c r="Z59" s="1"/>
      <c r="AA59" s="1"/>
      <c r="AB59" s="1"/>
      <c r="AC59" s="1"/>
      <c r="AD59" s="1"/>
      <c r="AE59" s="1"/>
    </row>
    <row r="60" spans="1:31" ht="18.5" x14ac:dyDescent="0.35">
      <c r="A60" s="293">
        <f t="shared" si="0"/>
        <v>39</v>
      </c>
      <c r="B60" s="92" t="s">
        <v>227</v>
      </c>
      <c r="C60" s="92" t="s">
        <v>291</v>
      </c>
      <c r="D60" s="110"/>
      <c r="E60" s="16"/>
      <c r="F60" s="16"/>
      <c r="G60" s="16"/>
      <c r="H60" s="16"/>
      <c r="I60" s="3">
        <v>1</v>
      </c>
      <c r="J60" s="200"/>
      <c r="K60" s="4"/>
      <c r="L60" s="4"/>
      <c r="M60" s="4"/>
      <c r="N60" s="186"/>
      <c r="O60" s="4"/>
      <c r="P60" s="18">
        <v>1</v>
      </c>
      <c r="Q60" s="4"/>
      <c r="R60" s="18">
        <v>1</v>
      </c>
      <c r="S60" s="3">
        <v>1</v>
      </c>
      <c r="T60" s="3">
        <v>1</v>
      </c>
      <c r="U60" s="3">
        <v>1</v>
      </c>
      <c r="V60" s="18">
        <v>1</v>
      </c>
      <c r="W60" s="186"/>
      <c r="X60" s="3">
        <v>1</v>
      </c>
      <c r="Y60" s="4"/>
      <c r="Z60" s="1"/>
      <c r="AA60" s="1"/>
      <c r="AB60" s="1"/>
      <c r="AC60" s="178"/>
      <c r="AD60" s="178"/>
      <c r="AE60" s="178"/>
    </row>
    <row r="61" spans="1:31" ht="19" thickBot="1" x14ac:dyDescent="0.4">
      <c r="A61" s="294"/>
      <c r="B61" s="96" t="s">
        <v>227</v>
      </c>
      <c r="C61" s="96" t="s">
        <v>269</v>
      </c>
      <c r="D61" s="101"/>
      <c r="E61" s="3">
        <v>1</v>
      </c>
      <c r="F61" s="4"/>
      <c r="G61" s="4"/>
      <c r="H61" s="4"/>
      <c r="I61" s="3">
        <v>1</v>
      </c>
      <c r="J61" s="200"/>
      <c r="K61" s="3">
        <v>1</v>
      </c>
      <c r="L61" s="4"/>
      <c r="M61" s="3">
        <v>1</v>
      </c>
      <c r="N61" s="186"/>
      <c r="O61" s="4"/>
      <c r="P61" s="18">
        <v>1</v>
      </c>
      <c r="Q61" s="4"/>
      <c r="R61" s="18">
        <v>1</v>
      </c>
      <c r="S61" s="3">
        <v>1</v>
      </c>
      <c r="T61" s="3">
        <v>1</v>
      </c>
      <c r="U61" s="3">
        <v>1</v>
      </c>
      <c r="V61" s="18">
        <v>1</v>
      </c>
      <c r="W61" s="186"/>
      <c r="X61" s="3">
        <v>1</v>
      </c>
      <c r="Y61" s="4"/>
      <c r="Z61" s="1"/>
      <c r="AA61" s="1"/>
      <c r="AB61" s="1"/>
      <c r="AC61" s="178"/>
      <c r="AD61" s="178"/>
      <c r="AE61" s="178"/>
    </row>
    <row r="62" spans="1:31" ht="19" thickBot="1" x14ac:dyDescent="0.4">
      <c r="A62" s="157">
        <f>A60+1</f>
        <v>40</v>
      </c>
      <c r="B62" s="91" t="s">
        <v>228</v>
      </c>
      <c r="C62" s="91" t="s">
        <v>229</v>
      </c>
      <c r="D62" s="91"/>
      <c r="E62" s="3">
        <v>1</v>
      </c>
      <c r="F62" s="4"/>
      <c r="G62" s="4"/>
      <c r="H62" s="18">
        <v>1</v>
      </c>
      <c r="I62" s="4"/>
      <c r="J62" s="200"/>
      <c r="K62" s="4"/>
      <c r="L62" s="4"/>
      <c r="M62" s="4"/>
      <c r="N62" s="196"/>
      <c r="O62" s="4"/>
      <c r="P62" s="4"/>
      <c r="Q62" s="4"/>
      <c r="R62" s="4"/>
      <c r="S62" s="4"/>
      <c r="T62" s="4"/>
      <c r="U62" s="4"/>
      <c r="V62" s="4"/>
      <c r="W62" s="196"/>
      <c r="X62" s="4"/>
      <c r="Y62" s="4"/>
      <c r="Z62" s="1"/>
      <c r="AA62" s="1"/>
      <c r="AB62" s="1"/>
      <c r="AC62" s="1"/>
      <c r="AD62" s="1"/>
      <c r="AE62" s="1"/>
    </row>
    <row r="63" spans="1:31" ht="19" thickBot="1" x14ac:dyDescent="0.4">
      <c r="A63" s="144">
        <f t="shared" si="0"/>
        <v>41</v>
      </c>
      <c r="B63" s="145" t="s">
        <v>383</v>
      </c>
      <c r="C63" s="145" t="s">
        <v>231</v>
      </c>
      <c r="D63" s="117"/>
      <c r="E63" s="4"/>
      <c r="F63" s="3">
        <v>1</v>
      </c>
      <c r="G63" s="4"/>
      <c r="H63" s="4"/>
      <c r="I63" s="37"/>
      <c r="J63" s="200"/>
      <c r="K63" s="3">
        <v>1</v>
      </c>
      <c r="L63" s="3">
        <v>1</v>
      </c>
      <c r="M63" s="4"/>
      <c r="N63" s="186"/>
      <c r="O63" s="4"/>
      <c r="P63" s="4"/>
      <c r="Q63" s="3">
        <v>1</v>
      </c>
      <c r="R63" s="18">
        <v>1</v>
      </c>
      <c r="S63" s="3">
        <v>1</v>
      </c>
      <c r="T63" s="4"/>
      <c r="U63" s="4"/>
      <c r="V63" s="4"/>
      <c r="W63" s="186"/>
      <c r="X63" s="4"/>
      <c r="Y63" s="4"/>
      <c r="Z63" s="3">
        <v>1</v>
      </c>
      <c r="AA63" s="1"/>
      <c r="AB63" s="1"/>
      <c r="AC63" s="178"/>
      <c r="AD63" s="178"/>
      <c r="AE63" s="178"/>
    </row>
    <row r="64" spans="1:31" ht="19" thickBot="1" x14ac:dyDescent="0.4">
      <c r="A64" s="144">
        <f t="shared" si="0"/>
        <v>42</v>
      </c>
      <c r="B64" s="145" t="s">
        <v>232</v>
      </c>
      <c r="C64" s="145" t="s">
        <v>379</v>
      </c>
      <c r="D64" s="117"/>
      <c r="E64" s="126"/>
      <c r="F64" s="126"/>
      <c r="G64" s="126"/>
      <c r="H64" s="126"/>
      <c r="I64" s="126"/>
      <c r="J64" s="200"/>
      <c r="K64" s="126"/>
      <c r="L64" s="126"/>
      <c r="M64" s="126"/>
      <c r="N64" s="1"/>
      <c r="O64" s="126"/>
      <c r="P64" s="126"/>
      <c r="Q64" s="126"/>
      <c r="R64" s="126"/>
      <c r="S64" s="3">
        <v>1</v>
      </c>
      <c r="T64" s="4"/>
      <c r="U64" s="4"/>
      <c r="V64" s="58">
        <v>1</v>
      </c>
      <c r="W64" s="1"/>
      <c r="X64" s="4"/>
      <c r="Y64" s="3">
        <v>1</v>
      </c>
      <c r="Z64" s="1"/>
      <c r="AA64" s="1"/>
      <c r="AB64" s="1"/>
      <c r="AC64" s="178"/>
      <c r="AD64" s="178"/>
      <c r="AE64" s="178"/>
    </row>
    <row r="65" spans="1:31" ht="19" thickBot="1" x14ac:dyDescent="0.4">
      <c r="A65" s="155">
        <f>A64+1</f>
        <v>43</v>
      </c>
      <c r="B65" s="81" t="s">
        <v>232</v>
      </c>
      <c r="C65" s="81" t="s">
        <v>235</v>
      </c>
      <c r="D65" s="81"/>
      <c r="E65" s="196"/>
      <c r="F65" s="196"/>
      <c r="G65" s="196"/>
      <c r="H65" s="196"/>
      <c r="I65" s="196"/>
      <c r="J65" s="200"/>
      <c r="K65" s="196"/>
      <c r="L65" s="196"/>
      <c r="M65" s="196"/>
      <c r="N65" s="196"/>
      <c r="O65" s="3">
        <v>1</v>
      </c>
      <c r="P65" s="37"/>
      <c r="Q65" s="37"/>
      <c r="R65" s="3">
        <v>1</v>
      </c>
      <c r="S65" s="37"/>
      <c r="T65" s="37"/>
      <c r="U65" s="3">
        <v>1</v>
      </c>
      <c r="V65" s="4"/>
      <c r="W65" s="196"/>
      <c r="X65" s="3">
        <v>1</v>
      </c>
      <c r="Y65" s="4"/>
      <c r="Z65" s="1"/>
      <c r="AA65" s="1"/>
      <c r="AB65" s="1"/>
      <c r="AC65" s="1"/>
      <c r="AD65" s="1"/>
      <c r="AE65" s="1"/>
    </row>
    <row r="66" spans="1:31" ht="19" thickBot="1" x14ac:dyDescent="0.4">
      <c r="A66" s="144">
        <f>A65+1</f>
        <v>44</v>
      </c>
      <c r="B66" s="145" t="s">
        <v>312</v>
      </c>
      <c r="C66" s="145" t="s">
        <v>233</v>
      </c>
      <c r="D66" s="117"/>
      <c r="E66" s="3">
        <v>1</v>
      </c>
      <c r="F66" s="3">
        <v>1</v>
      </c>
      <c r="G66" s="4"/>
      <c r="H66" s="4"/>
      <c r="I66" s="4"/>
      <c r="J66" s="200"/>
      <c r="K66" s="4"/>
      <c r="L66" s="4"/>
      <c r="M66" s="4"/>
      <c r="N66" s="186"/>
      <c r="O66" s="4"/>
      <c r="P66" s="3">
        <v>1</v>
      </c>
      <c r="Q66" s="3">
        <v>1</v>
      </c>
      <c r="R66" s="4"/>
      <c r="S66" s="3">
        <v>1</v>
      </c>
      <c r="T66" s="4"/>
      <c r="U66" s="3">
        <v>1</v>
      </c>
      <c r="V66" s="3">
        <v>1</v>
      </c>
      <c r="W66" s="186"/>
      <c r="X66" s="4"/>
      <c r="Y66" s="3">
        <v>1</v>
      </c>
      <c r="Z66" s="1"/>
      <c r="AA66" s="1"/>
      <c r="AB66" s="1"/>
      <c r="AC66" s="178"/>
      <c r="AD66" s="178"/>
      <c r="AE66" s="178"/>
    </row>
    <row r="67" spans="1:31" ht="19" thickBot="1" x14ac:dyDescent="0.4">
      <c r="A67" s="152">
        <f t="shared" si="0"/>
        <v>45</v>
      </c>
      <c r="B67" s="153" t="s">
        <v>234</v>
      </c>
      <c r="C67" s="202" t="s">
        <v>305</v>
      </c>
      <c r="D67" s="91"/>
      <c r="E67" s="3">
        <v>1</v>
      </c>
      <c r="F67" s="4"/>
      <c r="G67" s="4"/>
      <c r="H67" s="3">
        <v>1</v>
      </c>
      <c r="I67" s="37"/>
      <c r="J67" s="200"/>
      <c r="K67" s="37"/>
      <c r="L67" s="4"/>
      <c r="M67" s="4"/>
      <c r="N67" s="196"/>
      <c r="O67" s="18">
        <v>1</v>
      </c>
      <c r="P67" s="4"/>
      <c r="Q67" s="3">
        <v>1</v>
      </c>
      <c r="R67" s="4"/>
      <c r="S67" s="3">
        <v>1</v>
      </c>
      <c r="T67" s="3">
        <v>1</v>
      </c>
      <c r="U67" s="18">
        <v>1</v>
      </c>
      <c r="V67" s="4"/>
      <c r="W67" s="196"/>
      <c r="X67" s="4"/>
      <c r="Y67" s="4"/>
      <c r="Z67" s="1"/>
      <c r="AA67" s="1"/>
      <c r="AB67" s="1"/>
      <c r="AC67" s="1"/>
      <c r="AD67" s="1"/>
      <c r="AE67" s="1"/>
    </row>
    <row r="68" spans="1:31" ht="19" thickBot="1" x14ac:dyDescent="0.4">
      <c r="A68" s="152">
        <f t="shared" si="0"/>
        <v>46</v>
      </c>
      <c r="B68" s="207" t="s">
        <v>359</v>
      </c>
      <c r="C68" s="207" t="s">
        <v>360</v>
      </c>
      <c r="D68" s="129"/>
      <c r="E68" s="126"/>
      <c r="F68" s="126"/>
      <c r="G68" s="126"/>
      <c r="H68" s="126"/>
      <c r="I68" s="126"/>
      <c r="J68" s="200"/>
      <c r="K68" s="126"/>
      <c r="L68" s="126"/>
      <c r="M68" s="126"/>
      <c r="N68" s="124"/>
      <c r="O68" s="126"/>
      <c r="P68" s="126"/>
      <c r="Q68" s="126"/>
      <c r="R68" s="126"/>
      <c r="S68" s="126"/>
      <c r="T68" s="126"/>
      <c r="U68" s="201">
        <v>1</v>
      </c>
      <c r="V68" s="4"/>
      <c r="W68" s="196"/>
      <c r="X68" s="201">
        <v>1</v>
      </c>
      <c r="Y68" s="4"/>
      <c r="Z68" s="1"/>
      <c r="AA68" s="1"/>
      <c r="AB68" s="1"/>
      <c r="AC68" s="1"/>
      <c r="AD68" s="1"/>
      <c r="AE68" s="1"/>
    </row>
    <row r="69" spans="1:31" ht="18.5" x14ac:dyDescent="0.35">
      <c r="A69" s="295">
        <f>A68+1</f>
        <v>47</v>
      </c>
      <c r="B69" s="102" t="s">
        <v>238</v>
      </c>
      <c r="C69" s="102" t="s">
        <v>302</v>
      </c>
      <c r="D69" s="81"/>
      <c r="E69" s="18">
        <v>1</v>
      </c>
      <c r="F69" s="3">
        <v>1</v>
      </c>
      <c r="G69" s="18">
        <v>1</v>
      </c>
      <c r="H69" s="3">
        <v>1</v>
      </c>
      <c r="I69" s="3">
        <v>1</v>
      </c>
      <c r="J69" s="200"/>
      <c r="K69" s="4"/>
      <c r="L69" s="4"/>
      <c r="M69" s="3">
        <v>1</v>
      </c>
      <c r="N69" s="196"/>
      <c r="O69" s="3">
        <v>1</v>
      </c>
      <c r="P69" s="18">
        <v>1</v>
      </c>
      <c r="Q69" s="3">
        <v>1</v>
      </c>
      <c r="R69" s="4"/>
      <c r="S69" s="3">
        <v>1</v>
      </c>
      <c r="T69" s="3">
        <v>1</v>
      </c>
      <c r="U69" s="3">
        <v>1</v>
      </c>
      <c r="V69" s="4"/>
      <c r="W69" s="196"/>
      <c r="X69" s="3">
        <v>1</v>
      </c>
      <c r="Y69" s="3">
        <v>1</v>
      </c>
      <c r="Z69" s="1"/>
      <c r="AA69" s="1"/>
      <c r="AB69" s="1"/>
      <c r="AC69" s="1"/>
      <c r="AD69" s="1"/>
      <c r="AE69" s="1"/>
    </row>
    <row r="70" spans="1:31" ht="19" thickBot="1" x14ac:dyDescent="0.4">
      <c r="A70" s="296"/>
      <c r="B70" s="104" t="s">
        <v>238</v>
      </c>
      <c r="C70" s="104" t="s">
        <v>271</v>
      </c>
      <c r="D70" s="79"/>
      <c r="E70" s="18">
        <v>1</v>
      </c>
      <c r="F70" s="3">
        <v>1</v>
      </c>
      <c r="G70" s="18">
        <v>1</v>
      </c>
      <c r="H70" s="3">
        <v>1</v>
      </c>
      <c r="I70" s="3">
        <v>1</v>
      </c>
      <c r="J70" s="200"/>
      <c r="K70" s="3">
        <v>1</v>
      </c>
      <c r="L70" s="3">
        <v>1</v>
      </c>
      <c r="M70" s="3">
        <v>1</v>
      </c>
      <c r="N70" s="196"/>
      <c r="O70" s="3">
        <v>1</v>
      </c>
      <c r="P70" s="18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196"/>
      <c r="X70" s="3">
        <v>1</v>
      </c>
      <c r="Y70" s="4"/>
      <c r="Z70" s="3">
        <v>1</v>
      </c>
      <c r="AA70" s="1"/>
      <c r="AB70" s="1"/>
      <c r="AC70" s="1"/>
      <c r="AD70" s="1"/>
      <c r="AE70" s="1"/>
    </row>
    <row r="71" spans="1:31" ht="18.5" x14ac:dyDescent="0.35">
      <c r="A71" s="301">
        <f>A69+1</f>
        <v>48</v>
      </c>
      <c r="B71" s="110" t="s">
        <v>239</v>
      </c>
      <c r="C71" s="110" t="s">
        <v>292</v>
      </c>
      <c r="D71" s="110"/>
      <c r="E71" s="3">
        <v>1</v>
      </c>
      <c r="F71" s="37"/>
      <c r="G71" s="18">
        <v>1</v>
      </c>
      <c r="H71" s="3">
        <v>1</v>
      </c>
      <c r="I71" s="18">
        <v>1</v>
      </c>
      <c r="J71" s="200"/>
      <c r="K71" s="3">
        <v>1</v>
      </c>
      <c r="L71" s="4"/>
      <c r="M71" s="3">
        <v>1</v>
      </c>
      <c r="N71" s="186"/>
      <c r="O71" s="37"/>
      <c r="P71" s="18">
        <v>1</v>
      </c>
      <c r="Q71" s="3">
        <v>1</v>
      </c>
      <c r="R71" s="18">
        <v>1</v>
      </c>
      <c r="S71" s="4"/>
      <c r="T71" s="3">
        <v>1</v>
      </c>
      <c r="U71" s="18">
        <v>1</v>
      </c>
      <c r="V71" s="18">
        <v>1</v>
      </c>
      <c r="W71" s="186"/>
      <c r="X71" s="4"/>
      <c r="Y71" s="3">
        <v>1</v>
      </c>
      <c r="Z71" s="1"/>
      <c r="AA71" s="1"/>
      <c r="AB71" s="1"/>
      <c r="AC71" s="178"/>
      <c r="AD71" s="178"/>
      <c r="AE71" s="178"/>
    </row>
    <row r="72" spans="1:31" ht="19" thickBot="1" x14ac:dyDescent="0.4">
      <c r="A72" s="302"/>
      <c r="B72" s="101" t="s">
        <v>239</v>
      </c>
      <c r="C72" s="101" t="s">
        <v>272</v>
      </c>
      <c r="D72" s="101"/>
      <c r="E72" s="3">
        <v>1</v>
      </c>
      <c r="F72" s="4"/>
      <c r="G72" s="4"/>
      <c r="H72" s="3">
        <v>1</v>
      </c>
      <c r="I72" s="4"/>
      <c r="J72" s="200"/>
      <c r="K72" s="3">
        <v>1</v>
      </c>
      <c r="L72" s="4"/>
      <c r="M72" s="3">
        <v>1</v>
      </c>
      <c r="N72" s="186"/>
      <c r="O72" s="4"/>
      <c r="P72" s="4"/>
      <c r="Q72" s="3">
        <v>1</v>
      </c>
      <c r="R72" s="18">
        <v>1</v>
      </c>
      <c r="S72" s="4"/>
      <c r="T72" s="3">
        <v>1</v>
      </c>
      <c r="U72" s="18">
        <v>1</v>
      </c>
      <c r="V72" s="18">
        <v>1</v>
      </c>
      <c r="W72" s="186"/>
      <c r="X72" s="4"/>
      <c r="Y72" s="3">
        <v>1</v>
      </c>
      <c r="Z72" s="1"/>
      <c r="AA72" s="1"/>
      <c r="AB72" s="1"/>
      <c r="AC72" s="178"/>
      <c r="AD72" s="178"/>
      <c r="AE72" s="178"/>
    </row>
    <row r="73" spans="1:31" ht="19" thickBot="1" x14ac:dyDescent="0.4">
      <c r="A73" s="152">
        <f>A71+1</f>
        <v>49</v>
      </c>
      <c r="B73" s="153" t="s">
        <v>240</v>
      </c>
      <c r="C73" s="153" t="s">
        <v>310</v>
      </c>
      <c r="D73" s="91"/>
      <c r="E73" s="4"/>
      <c r="F73" s="4"/>
      <c r="G73" s="4"/>
      <c r="H73" s="4"/>
      <c r="I73" s="4"/>
      <c r="J73" s="200"/>
      <c r="K73" s="4"/>
      <c r="L73" s="4"/>
      <c r="M73" s="4"/>
      <c r="N73" s="196"/>
      <c r="O73" s="4"/>
      <c r="P73" s="4"/>
      <c r="Q73" s="4"/>
      <c r="R73" s="4"/>
      <c r="S73" s="4"/>
      <c r="T73" s="4"/>
      <c r="U73" s="4"/>
      <c r="V73" s="4"/>
      <c r="W73" s="196"/>
      <c r="X73" s="4"/>
      <c r="Y73" s="4"/>
      <c r="Z73" s="1"/>
      <c r="AA73" s="1"/>
      <c r="AB73" s="1"/>
      <c r="AC73" s="1"/>
      <c r="AD73" s="1"/>
      <c r="AE73" s="1"/>
    </row>
    <row r="74" spans="1:31" ht="19" thickBot="1" x14ac:dyDescent="0.4">
      <c r="A74" s="158">
        <f t="shared" si="0"/>
        <v>50</v>
      </c>
      <c r="B74" s="117" t="s">
        <v>241</v>
      </c>
      <c r="C74" s="117" t="s">
        <v>242</v>
      </c>
      <c r="D74" s="117"/>
      <c r="E74" s="4"/>
      <c r="F74" s="4"/>
      <c r="G74" s="18">
        <v>1</v>
      </c>
      <c r="H74" s="18">
        <v>1</v>
      </c>
      <c r="I74" s="4"/>
      <c r="J74" s="200"/>
      <c r="K74" s="4"/>
      <c r="L74" s="3">
        <v>1</v>
      </c>
      <c r="M74" s="4"/>
      <c r="N74" s="186"/>
      <c r="O74" s="4"/>
      <c r="P74" s="4"/>
      <c r="Q74" s="4"/>
      <c r="R74" s="4"/>
      <c r="S74" s="4"/>
      <c r="T74" s="3">
        <v>1</v>
      </c>
      <c r="U74" s="4"/>
      <c r="V74" s="4"/>
      <c r="W74" s="186"/>
      <c r="X74" s="4"/>
      <c r="Y74" s="4"/>
      <c r="Z74" s="1"/>
      <c r="AA74" s="1"/>
      <c r="AB74" s="1"/>
      <c r="AC74" s="178"/>
      <c r="AD74" s="178"/>
      <c r="AE74" s="178"/>
    </row>
    <row r="75" spans="1:31" ht="19" thickBot="1" x14ac:dyDescent="0.4">
      <c r="A75" s="152">
        <f t="shared" si="0"/>
        <v>51</v>
      </c>
      <c r="B75" s="153" t="s">
        <v>243</v>
      </c>
      <c r="C75" s="153" t="s">
        <v>244</v>
      </c>
      <c r="D75" s="91"/>
      <c r="E75" s="16"/>
      <c r="F75" s="3">
        <v>1</v>
      </c>
      <c r="G75" s="3">
        <v>1</v>
      </c>
      <c r="H75" s="18">
        <v>1</v>
      </c>
      <c r="I75" s="3">
        <v>1</v>
      </c>
      <c r="J75" s="200"/>
      <c r="K75" s="4"/>
      <c r="L75" s="4"/>
      <c r="M75" s="3">
        <v>1</v>
      </c>
      <c r="N75" s="196"/>
      <c r="O75" s="4"/>
      <c r="P75" s="3">
        <v>1</v>
      </c>
      <c r="Q75" s="3">
        <v>1</v>
      </c>
      <c r="R75" s="3">
        <v>1</v>
      </c>
      <c r="S75" s="3">
        <v>1</v>
      </c>
      <c r="T75" s="4"/>
      <c r="U75" s="4"/>
      <c r="V75" s="4"/>
      <c r="W75" s="196"/>
      <c r="X75" s="4"/>
      <c r="Y75" s="3">
        <v>1</v>
      </c>
      <c r="Z75" s="3">
        <v>1</v>
      </c>
      <c r="AA75" s="1"/>
      <c r="AB75" s="1"/>
      <c r="AC75" s="1"/>
      <c r="AD75" s="1"/>
      <c r="AE75" s="1"/>
    </row>
    <row r="76" spans="1:31" ht="19" thickBot="1" x14ac:dyDescent="0.4">
      <c r="A76" s="158">
        <f t="shared" si="0"/>
        <v>52</v>
      </c>
      <c r="B76" s="117" t="s">
        <v>245</v>
      </c>
      <c r="C76" s="117" t="s">
        <v>246</v>
      </c>
      <c r="D76" s="117"/>
      <c r="E76" s="4"/>
      <c r="F76" s="4"/>
      <c r="G76" s="4"/>
      <c r="H76" s="4"/>
      <c r="I76" s="18">
        <v>1</v>
      </c>
      <c r="J76" s="200"/>
      <c r="K76" s="4"/>
      <c r="L76" s="4"/>
      <c r="M76" s="4"/>
      <c r="N76" s="186"/>
      <c r="O76" s="4"/>
      <c r="P76" s="4"/>
      <c r="Q76" s="4"/>
      <c r="R76" s="4"/>
      <c r="S76" s="4"/>
      <c r="T76" s="3">
        <v>1</v>
      </c>
      <c r="U76" s="4"/>
      <c r="V76" s="4"/>
      <c r="W76" s="186"/>
      <c r="X76" s="4"/>
      <c r="Y76" s="4"/>
      <c r="Z76" s="1"/>
      <c r="AA76" s="1"/>
      <c r="AB76" s="1"/>
      <c r="AC76" s="178"/>
      <c r="AD76" s="178"/>
      <c r="AE76" s="178"/>
    </row>
    <row r="77" spans="1:31" ht="18.5" x14ac:dyDescent="0.35">
      <c r="A77" s="295">
        <f t="shared" si="0"/>
        <v>53</v>
      </c>
      <c r="B77" s="102" t="s">
        <v>247</v>
      </c>
      <c r="C77" s="204" t="s">
        <v>224</v>
      </c>
      <c r="D77" s="81"/>
      <c r="E77" s="16"/>
      <c r="F77" s="16"/>
      <c r="G77" s="16"/>
      <c r="H77" s="16"/>
      <c r="I77" s="3">
        <v>1</v>
      </c>
      <c r="J77" s="200"/>
      <c r="K77" s="4"/>
      <c r="L77" s="3">
        <v>1</v>
      </c>
      <c r="M77" s="3">
        <v>1</v>
      </c>
      <c r="N77" s="196"/>
      <c r="O77" s="4"/>
      <c r="P77" s="4"/>
      <c r="Q77" s="4"/>
      <c r="R77" s="4"/>
      <c r="S77" s="3">
        <v>1</v>
      </c>
      <c r="T77" s="4"/>
      <c r="U77" s="3">
        <v>1</v>
      </c>
      <c r="V77" s="4"/>
      <c r="W77" s="196"/>
      <c r="X77" s="4"/>
      <c r="Y77" s="4"/>
      <c r="Z77" s="1"/>
      <c r="AA77" s="1"/>
      <c r="AB77" s="1"/>
      <c r="AC77" s="1"/>
      <c r="AD77" s="1"/>
      <c r="AE77" s="1"/>
    </row>
    <row r="78" spans="1:31" ht="19" thickBot="1" x14ac:dyDescent="0.4">
      <c r="A78" s="296"/>
      <c r="B78" s="104" t="s">
        <v>247</v>
      </c>
      <c r="C78" s="205" t="s">
        <v>308</v>
      </c>
      <c r="D78" s="79"/>
      <c r="E78" s="16"/>
      <c r="F78" s="16"/>
      <c r="G78" s="16"/>
      <c r="H78" s="16"/>
      <c r="I78" s="3">
        <v>1</v>
      </c>
      <c r="J78" s="200"/>
      <c r="K78" s="4"/>
      <c r="L78" s="4"/>
      <c r="M78" s="4"/>
      <c r="N78" s="196"/>
      <c r="O78" s="4"/>
      <c r="P78" s="4"/>
      <c r="Q78" s="4"/>
      <c r="R78" s="4"/>
      <c r="S78" s="4"/>
      <c r="T78" s="4"/>
      <c r="U78" s="4"/>
      <c r="V78" s="4"/>
      <c r="W78" s="196"/>
      <c r="X78" s="4"/>
      <c r="Y78" s="4"/>
      <c r="Z78" s="1"/>
      <c r="AA78" s="1"/>
      <c r="AB78" s="1"/>
      <c r="AC78" s="1"/>
      <c r="AD78" s="1"/>
      <c r="AE78" s="1"/>
    </row>
    <row r="79" spans="1:31" ht="18.5" x14ac:dyDescent="0.35">
      <c r="A79" s="291">
        <f>A77+1</f>
        <v>54</v>
      </c>
      <c r="B79" s="92" t="s">
        <v>248</v>
      </c>
      <c r="C79" s="189" t="s">
        <v>249</v>
      </c>
      <c r="D79" s="186"/>
      <c r="E79" s="3" t="s">
        <v>384</v>
      </c>
      <c r="F79" s="3">
        <v>1</v>
      </c>
      <c r="G79" s="18">
        <v>1</v>
      </c>
      <c r="H79" s="4"/>
      <c r="I79" s="3">
        <v>1</v>
      </c>
      <c r="J79" s="200"/>
      <c r="K79" s="3">
        <v>1</v>
      </c>
      <c r="L79" s="4"/>
      <c r="M79" s="4"/>
      <c r="N79" s="186"/>
      <c r="O79" s="3">
        <v>1</v>
      </c>
      <c r="P79" s="4"/>
      <c r="Q79" s="3">
        <v>1</v>
      </c>
      <c r="R79" s="4"/>
      <c r="S79" s="4"/>
      <c r="T79" s="3">
        <v>1</v>
      </c>
      <c r="U79" s="4"/>
      <c r="V79" s="18">
        <v>1</v>
      </c>
      <c r="W79" s="186"/>
      <c r="X79" s="4"/>
      <c r="Y79" s="3">
        <v>1</v>
      </c>
      <c r="Z79" s="3">
        <v>1</v>
      </c>
      <c r="AA79" s="1"/>
      <c r="AB79" s="1"/>
      <c r="AC79" s="178"/>
      <c r="AD79" s="178"/>
      <c r="AE79" s="178"/>
    </row>
    <row r="80" spans="1:31" ht="19" thickBot="1" x14ac:dyDescent="0.4">
      <c r="A80" s="307"/>
      <c r="B80" s="86" t="s">
        <v>248</v>
      </c>
      <c r="C80" s="206" t="s">
        <v>196</v>
      </c>
      <c r="D80" s="18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86"/>
      <c r="X80" s="4"/>
      <c r="Y80" s="3">
        <v>1</v>
      </c>
      <c r="Z80" s="3">
        <v>1</v>
      </c>
      <c r="AA80" s="1"/>
      <c r="AB80" s="1"/>
      <c r="AC80" s="178"/>
      <c r="AD80" s="178"/>
      <c r="AE80" s="178"/>
    </row>
    <row r="81" spans="1:31" ht="19" thickBot="1" x14ac:dyDescent="0.4">
      <c r="A81" s="175">
        <f>A79+1</f>
        <v>55</v>
      </c>
      <c r="B81" s="165" t="s">
        <v>248</v>
      </c>
      <c r="C81" s="165" t="s">
        <v>306</v>
      </c>
      <c r="D81" s="91"/>
      <c r="E81" s="16"/>
      <c r="F81" s="3">
        <v>1</v>
      </c>
      <c r="G81" s="18">
        <v>1</v>
      </c>
      <c r="H81" s="4"/>
      <c r="I81" s="4"/>
      <c r="J81" s="200"/>
      <c r="K81" s="4"/>
      <c r="L81" s="4"/>
      <c r="M81" s="4"/>
      <c r="N81" s="196"/>
      <c r="O81" s="4"/>
      <c r="P81" s="4"/>
      <c r="Q81" s="4"/>
      <c r="R81" s="4"/>
      <c r="S81" s="3">
        <v>1</v>
      </c>
      <c r="T81" s="4"/>
      <c r="U81" s="4"/>
      <c r="V81" s="4"/>
      <c r="W81" s="196"/>
      <c r="X81" s="4"/>
      <c r="Y81" s="4"/>
      <c r="Z81" s="1"/>
      <c r="AA81" s="1"/>
      <c r="AB81" s="1"/>
      <c r="AC81" s="1"/>
      <c r="AD81" s="1"/>
      <c r="AE81" s="1"/>
    </row>
    <row r="82" spans="1:31" ht="18.5" x14ac:dyDescent="0.35">
      <c r="A82" s="301">
        <f t="shared" si="0"/>
        <v>56</v>
      </c>
      <c r="B82" s="110" t="s">
        <v>295</v>
      </c>
      <c r="C82" s="110" t="s">
        <v>293</v>
      </c>
      <c r="D82" s="110"/>
      <c r="E82" s="18">
        <v>1</v>
      </c>
      <c r="F82" s="18">
        <v>1</v>
      </c>
      <c r="G82" s="4"/>
      <c r="H82" s="3">
        <v>1</v>
      </c>
      <c r="I82" s="18">
        <v>1</v>
      </c>
      <c r="J82" s="200"/>
      <c r="K82" s="4"/>
      <c r="L82" s="18">
        <v>1</v>
      </c>
      <c r="M82" s="4"/>
      <c r="N82" s="186"/>
      <c r="O82" s="18">
        <v>1</v>
      </c>
      <c r="P82" s="18">
        <v>1</v>
      </c>
      <c r="Q82" s="4"/>
      <c r="R82" s="18">
        <v>1</v>
      </c>
      <c r="S82" s="4"/>
      <c r="T82" s="3">
        <v>1</v>
      </c>
      <c r="U82" s="3">
        <v>1</v>
      </c>
      <c r="V82" s="4"/>
      <c r="W82" s="186"/>
      <c r="X82" s="3">
        <v>1</v>
      </c>
      <c r="Y82" s="4"/>
      <c r="Z82" s="1"/>
      <c r="AA82" s="1"/>
      <c r="AB82" s="1"/>
      <c r="AC82" s="178"/>
      <c r="AD82" s="178"/>
      <c r="AE82" s="178"/>
    </row>
    <row r="83" spans="1:31" ht="19" thickBot="1" x14ac:dyDescent="0.4">
      <c r="A83" s="302"/>
      <c r="B83" s="101" t="s">
        <v>295</v>
      </c>
      <c r="C83" s="101" t="s">
        <v>273</v>
      </c>
      <c r="D83" s="101"/>
      <c r="E83" s="18">
        <v>1</v>
      </c>
      <c r="F83" s="18">
        <v>1</v>
      </c>
      <c r="G83" s="4"/>
      <c r="H83" s="3">
        <v>1</v>
      </c>
      <c r="I83" s="18">
        <v>1</v>
      </c>
      <c r="J83" s="200"/>
      <c r="K83" s="4"/>
      <c r="L83" s="18">
        <v>1</v>
      </c>
      <c r="M83" s="4"/>
      <c r="N83" s="186"/>
      <c r="O83" s="18">
        <v>1</v>
      </c>
      <c r="P83" s="18">
        <v>1</v>
      </c>
      <c r="Q83" s="4"/>
      <c r="R83" s="18">
        <v>1</v>
      </c>
      <c r="S83" s="3">
        <v>1</v>
      </c>
      <c r="T83" s="3">
        <v>1</v>
      </c>
      <c r="U83" s="3">
        <v>1</v>
      </c>
      <c r="V83" s="4"/>
      <c r="W83" s="186"/>
      <c r="X83" s="3">
        <v>1</v>
      </c>
      <c r="Y83" s="3">
        <v>1</v>
      </c>
      <c r="Z83" s="1"/>
      <c r="AA83" s="1"/>
      <c r="AB83" s="1"/>
      <c r="AC83" s="1"/>
      <c r="AD83" s="1"/>
      <c r="AE83" s="1"/>
    </row>
    <row r="84" spans="1:31" ht="19" thickBot="1" x14ac:dyDescent="0.4">
      <c r="A84" s="152">
        <f>A82+1</f>
        <v>57</v>
      </c>
      <c r="B84" s="153" t="s">
        <v>250</v>
      </c>
      <c r="C84" s="153" t="s">
        <v>251</v>
      </c>
      <c r="D84" s="91"/>
      <c r="E84" s="3">
        <v>1</v>
      </c>
      <c r="F84" s="4"/>
      <c r="G84" s="18">
        <v>1</v>
      </c>
      <c r="H84" s="3">
        <v>1</v>
      </c>
      <c r="I84" s="3">
        <v>1</v>
      </c>
      <c r="J84" s="200"/>
      <c r="K84" s="4"/>
      <c r="L84" s="4"/>
      <c r="M84" s="4"/>
      <c r="N84" s="196"/>
      <c r="O84" s="4"/>
      <c r="P84" s="3">
        <v>1</v>
      </c>
      <c r="Q84" s="4"/>
      <c r="R84" s="3">
        <v>1</v>
      </c>
      <c r="S84" s="3">
        <v>1</v>
      </c>
      <c r="T84" s="3">
        <v>1</v>
      </c>
      <c r="U84" s="3">
        <v>1</v>
      </c>
      <c r="V84" s="4"/>
      <c r="W84" s="196"/>
      <c r="X84" s="3"/>
      <c r="Y84" s="4"/>
      <c r="Z84" s="1"/>
      <c r="AA84" s="1"/>
      <c r="AB84" s="1"/>
      <c r="AC84" s="1"/>
      <c r="AD84" s="1"/>
      <c r="AE84" s="1"/>
    </row>
    <row r="85" spans="1:31" ht="18.5" x14ac:dyDescent="0.35">
      <c r="A85" s="301">
        <f>A84+1</f>
        <v>58</v>
      </c>
      <c r="B85" s="110" t="s">
        <v>252</v>
      </c>
      <c r="C85" s="110" t="s">
        <v>294</v>
      </c>
      <c r="D85" s="110"/>
      <c r="E85" s="18">
        <v>1</v>
      </c>
      <c r="F85" s="18">
        <v>1</v>
      </c>
      <c r="G85" s="3">
        <v>1</v>
      </c>
      <c r="H85" s="4"/>
      <c r="I85" s="4"/>
      <c r="J85" s="200"/>
      <c r="K85" s="4"/>
      <c r="L85" s="4"/>
      <c r="M85" s="3">
        <v>1</v>
      </c>
      <c r="N85" s="186"/>
      <c r="O85" s="4"/>
      <c r="P85" s="4"/>
      <c r="Q85" s="3">
        <v>1</v>
      </c>
      <c r="R85" s="4"/>
      <c r="S85" s="3">
        <v>1</v>
      </c>
      <c r="T85" s="4"/>
      <c r="U85" s="3">
        <v>1</v>
      </c>
      <c r="V85" s="4"/>
      <c r="W85" s="186"/>
      <c r="X85" s="4"/>
      <c r="Y85" s="4"/>
      <c r="Z85" s="1"/>
      <c r="AA85" s="1"/>
      <c r="AB85" s="1"/>
      <c r="AC85" s="1"/>
      <c r="AD85" s="1"/>
      <c r="AE85" s="1"/>
    </row>
    <row r="86" spans="1:31" ht="19" thickBot="1" x14ac:dyDescent="0.4">
      <c r="A86" s="302"/>
      <c r="B86" s="101" t="s">
        <v>252</v>
      </c>
      <c r="C86" s="101" t="s">
        <v>274</v>
      </c>
      <c r="D86" s="101"/>
      <c r="E86" s="4"/>
      <c r="F86" s="4"/>
      <c r="G86" s="3">
        <v>1</v>
      </c>
      <c r="H86" s="4"/>
      <c r="I86" s="4"/>
      <c r="J86" s="200"/>
      <c r="K86" s="4"/>
      <c r="L86" s="3">
        <v>1</v>
      </c>
      <c r="M86" s="4"/>
      <c r="N86" s="186"/>
      <c r="O86" s="4"/>
      <c r="P86" s="4"/>
      <c r="Q86" s="3">
        <v>1</v>
      </c>
      <c r="R86" s="3">
        <v>1</v>
      </c>
      <c r="S86" s="4"/>
      <c r="T86" s="4"/>
      <c r="U86" s="3">
        <v>1</v>
      </c>
      <c r="V86" s="4"/>
      <c r="W86" s="186"/>
      <c r="X86" s="4"/>
      <c r="Y86" s="4"/>
      <c r="Z86" s="1"/>
      <c r="AA86" s="1"/>
      <c r="AB86" s="1"/>
      <c r="AC86" s="1"/>
      <c r="AD86" s="1"/>
      <c r="AE86" s="1"/>
    </row>
    <row r="87" spans="1:31" ht="18.5" x14ac:dyDescent="0.35">
      <c r="A87" s="295">
        <f>A85+1</f>
        <v>59</v>
      </c>
      <c r="B87" s="102" t="s">
        <v>253</v>
      </c>
      <c r="C87" s="102" t="s">
        <v>205</v>
      </c>
      <c r="D87" s="81"/>
      <c r="E87" s="4"/>
      <c r="F87" s="18">
        <v>1</v>
      </c>
      <c r="G87" s="4"/>
      <c r="H87" s="4"/>
      <c r="I87" s="4"/>
      <c r="J87" s="200"/>
      <c r="K87" s="4"/>
      <c r="L87" s="4"/>
      <c r="M87" s="4"/>
      <c r="N87" s="196"/>
      <c r="O87" s="4"/>
      <c r="P87" s="4"/>
      <c r="Q87" s="4"/>
      <c r="R87" s="4"/>
      <c r="S87" s="4"/>
      <c r="T87" s="3">
        <v>1</v>
      </c>
      <c r="U87" s="4"/>
      <c r="V87" s="4"/>
      <c r="W87" s="196"/>
      <c r="X87" s="4"/>
      <c r="Y87" s="4"/>
      <c r="Z87" s="1"/>
      <c r="AA87" s="1"/>
      <c r="AB87" s="1"/>
      <c r="AC87" s="178"/>
      <c r="AD87" s="178"/>
      <c r="AE87" s="178"/>
    </row>
    <row r="88" spans="1:31" ht="19" thickBot="1" x14ac:dyDescent="0.4">
      <c r="A88" s="296"/>
      <c r="B88" s="104" t="s">
        <v>253</v>
      </c>
      <c r="C88" s="104" t="s">
        <v>376</v>
      </c>
      <c r="D88" s="79"/>
      <c r="E88" s="18">
        <v>1</v>
      </c>
      <c r="F88" s="18">
        <v>1</v>
      </c>
      <c r="G88" s="18">
        <v>1</v>
      </c>
      <c r="H88" s="3">
        <v>1</v>
      </c>
      <c r="I88" s="4"/>
      <c r="J88" s="200"/>
      <c r="K88" s="3">
        <v>1</v>
      </c>
      <c r="L88" s="4"/>
      <c r="M88" s="4"/>
      <c r="N88" s="196"/>
      <c r="O88" s="4"/>
      <c r="P88" s="18">
        <v>1</v>
      </c>
      <c r="Q88" s="3">
        <v>1</v>
      </c>
      <c r="R88" s="18">
        <v>1</v>
      </c>
      <c r="S88" s="3">
        <v>1</v>
      </c>
      <c r="T88" s="3">
        <v>1</v>
      </c>
      <c r="U88" s="3">
        <v>1</v>
      </c>
      <c r="V88" s="18">
        <v>1</v>
      </c>
      <c r="W88" s="196"/>
      <c r="X88" s="3">
        <v>1</v>
      </c>
      <c r="Y88" s="4"/>
      <c r="Z88" s="3">
        <v>1</v>
      </c>
      <c r="AA88" s="1"/>
      <c r="AB88" s="1"/>
      <c r="AC88" s="178"/>
      <c r="AD88" s="178"/>
      <c r="AE88" s="178"/>
    </row>
    <row r="89" spans="1:31" ht="19" thickBot="1" x14ac:dyDescent="0.4">
      <c r="A89" s="144">
        <f>A87+1</f>
        <v>60</v>
      </c>
      <c r="B89" s="145" t="s">
        <v>254</v>
      </c>
      <c r="C89" s="203" t="s">
        <v>255</v>
      </c>
      <c r="D89" s="110"/>
      <c r="E89" s="16"/>
      <c r="F89" s="16"/>
      <c r="G89" s="16"/>
      <c r="H89" s="16"/>
      <c r="I89" s="16"/>
      <c r="J89" s="200"/>
      <c r="K89" s="16"/>
      <c r="L89" s="3">
        <v>1</v>
      </c>
      <c r="M89" s="4"/>
      <c r="N89" s="186"/>
      <c r="O89" s="4"/>
      <c r="P89" s="18">
        <v>1</v>
      </c>
      <c r="Q89" s="4"/>
      <c r="R89" s="18">
        <v>1</v>
      </c>
      <c r="S89" s="37"/>
      <c r="T89" s="3">
        <v>1</v>
      </c>
      <c r="U89" s="4"/>
      <c r="V89" s="18">
        <v>1</v>
      </c>
      <c r="W89" s="186"/>
      <c r="X89" s="3">
        <v>1</v>
      </c>
      <c r="Y89" s="4"/>
      <c r="Z89" s="3">
        <v>1</v>
      </c>
      <c r="AA89" s="1"/>
      <c r="AB89" s="1"/>
      <c r="AC89" s="1"/>
      <c r="AD89" s="1"/>
      <c r="AE89" s="1"/>
    </row>
    <row r="90" spans="1:31" ht="19" thickBot="1" x14ac:dyDescent="0.4">
      <c r="A90" s="157">
        <f t="shared" ref="A90:A91" si="1">A89+1</f>
        <v>61</v>
      </c>
      <c r="B90" s="91" t="s">
        <v>256</v>
      </c>
      <c r="C90" s="91" t="s">
        <v>257</v>
      </c>
      <c r="D90" s="79"/>
      <c r="E90" s="4"/>
      <c r="F90" s="3">
        <v>1</v>
      </c>
      <c r="G90" s="4"/>
      <c r="H90" s="3">
        <v>1</v>
      </c>
      <c r="I90" s="4"/>
      <c r="J90" s="200"/>
      <c r="K90" s="3">
        <v>1</v>
      </c>
      <c r="L90" s="4"/>
      <c r="M90" s="18">
        <v>1</v>
      </c>
      <c r="N90" s="196" t="s">
        <v>384</v>
      </c>
      <c r="O90" s="4"/>
      <c r="P90" s="18">
        <v>1</v>
      </c>
      <c r="Q90" s="3">
        <v>1</v>
      </c>
      <c r="R90" s="18">
        <v>1</v>
      </c>
      <c r="S90" s="3">
        <v>1</v>
      </c>
      <c r="T90" s="4"/>
      <c r="U90" s="18">
        <v>1</v>
      </c>
      <c r="V90" s="18">
        <v>1</v>
      </c>
      <c r="W90" s="196"/>
      <c r="X90" s="4"/>
      <c r="Y90" s="4"/>
      <c r="Z90" s="3">
        <v>1</v>
      </c>
      <c r="AA90" s="1"/>
      <c r="AB90" s="1"/>
      <c r="AC90" s="1"/>
      <c r="AD90" s="1"/>
      <c r="AE90" s="1"/>
    </row>
    <row r="91" spans="1:31" ht="18.5" x14ac:dyDescent="0.35">
      <c r="A91" s="293">
        <f t="shared" si="1"/>
        <v>62</v>
      </c>
      <c r="B91" s="92" t="s">
        <v>258</v>
      </c>
      <c r="C91" s="92" t="s">
        <v>276</v>
      </c>
      <c r="D91" s="110"/>
      <c r="E91" s="18">
        <v>1</v>
      </c>
      <c r="F91" s="4"/>
      <c r="G91" s="4"/>
      <c r="H91" s="37" t="s">
        <v>128</v>
      </c>
      <c r="I91" s="4"/>
      <c r="J91" s="200"/>
      <c r="K91" s="3">
        <v>1</v>
      </c>
      <c r="L91" s="18">
        <v>1</v>
      </c>
      <c r="M91" s="18">
        <v>1</v>
      </c>
      <c r="N91" s="186"/>
      <c r="O91" s="4"/>
      <c r="P91" s="4"/>
      <c r="Q91" s="4"/>
      <c r="R91" s="4"/>
      <c r="S91" s="4"/>
      <c r="T91" s="4"/>
      <c r="U91" s="4"/>
      <c r="V91" s="4"/>
      <c r="W91" s="186"/>
      <c r="X91" s="4"/>
      <c r="Y91" s="3">
        <v>1</v>
      </c>
      <c r="Z91" s="1"/>
      <c r="AA91" s="1"/>
      <c r="AB91" s="1"/>
      <c r="AC91" s="1"/>
      <c r="AD91" s="1"/>
      <c r="AE91" s="1"/>
    </row>
    <row r="92" spans="1:31" ht="19" thickBot="1" x14ac:dyDescent="0.4">
      <c r="A92" s="294"/>
      <c r="B92" s="96" t="s">
        <v>258</v>
      </c>
      <c r="C92" s="96" t="s">
        <v>297</v>
      </c>
      <c r="D92" s="101"/>
      <c r="E92" s="4"/>
      <c r="F92" s="4"/>
      <c r="G92" s="4"/>
      <c r="H92" s="18">
        <v>1</v>
      </c>
      <c r="I92" s="4"/>
      <c r="J92" s="200"/>
      <c r="K92" s="4"/>
      <c r="L92" s="4"/>
      <c r="M92" s="18">
        <v>1</v>
      </c>
      <c r="N92" s="186"/>
      <c r="O92" s="3">
        <v>1</v>
      </c>
      <c r="P92" s="4"/>
      <c r="Q92" s="4"/>
      <c r="R92" s="18">
        <v>1</v>
      </c>
      <c r="S92" s="3">
        <v>1</v>
      </c>
      <c r="T92" s="3">
        <v>1</v>
      </c>
      <c r="U92" s="3">
        <v>1</v>
      </c>
      <c r="V92" s="4"/>
      <c r="W92" s="186"/>
      <c r="X92" s="3">
        <v>1</v>
      </c>
      <c r="Y92" s="3">
        <v>1</v>
      </c>
      <c r="Z92" s="3">
        <v>1</v>
      </c>
      <c r="AA92" s="1"/>
      <c r="AB92" s="1"/>
      <c r="AC92" s="1"/>
      <c r="AD92" s="1"/>
      <c r="AE92" s="1"/>
    </row>
    <row r="93" spans="1:31" ht="16" thickBot="1" x14ac:dyDescent="0.4">
      <c r="A93" s="122"/>
      <c r="B93" s="53"/>
      <c r="C93" s="54"/>
      <c r="D93" s="54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16"/>
      <c r="Y93" s="16"/>
      <c r="Z93" s="16"/>
      <c r="AA93" s="1"/>
      <c r="AB93" s="1"/>
      <c r="AC93" s="1"/>
      <c r="AD93" s="1"/>
      <c r="AE93" s="1" t="s">
        <v>126</v>
      </c>
    </row>
    <row r="94" spans="1:31" ht="15" thickBot="1" x14ac:dyDescent="0.4">
      <c r="A94" s="122"/>
      <c r="B94" s="303" t="s">
        <v>350</v>
      </c>
      <c r="C94" s="304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55">
        <f>SUM(X2:X93)</f>
        <v>36</v>
      </c>
      <c r="Y94" s="55">
        <f>SUM(Y2:Y93)</f>
        <v>32</v>
      </c>
      <c r="Z94" s="55">
        <f>SUM(Z2:Z93)</f>
        <v>29</v>
      </c>
      <c r="AA94" s="55">
        <f>SUM(AA2:AA93)</f>
        <v>0</v>
      </c>
      <c r="AB94" s="55">
        <f>SUM(AB2:AB93)</f>
        <v>0</v>
      </c>
      <c r="AC94" s="55"/>
      <c r="AD94" s="180"/>
      <c r="AE94" s="181">
        <f>AVERAGE(X94)</f>
        <v>36</v>
      </c>
    </row>
    <row r="96" spans="1:31" ht="18" x14ac:dyDescent="0.4">
      <c r="B96" s="127" t="s">
        <v>314</v>
      </c>
    </row>
    <row r="97" spans="2:31" ht="15.5" x14ac:dyDescent="0.35">
      <c r="B97" s="133" t="s">
        <v>215</v>
      </c>
      <c r="C97" s="124" t="s">
        <v>378</v>
      </c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76"/>
      <c r="Y97" s="176">
        <v>1</v>
      </c>
      <c r="Z97" s="176"/>
      <c r="AA97" s="176"/>
      <c r="AB97" s="176"/>
      <c r="AC97" s="125"/>
      <c r="AD97" s="125"/>
      <c r="AE97" s="134"/>
    </row>
    <row r="98" spans="2:31" x14ac:dyDescent="0.35">
      <c r="B98" s="135" t="s">
        <v>382</v>
      </c>
      <c r="C98" s="136" t="s">
        <v>276</v>
      </c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77"/>
      <c r="Y98" s="177"/>
      <c r="Z98" s="177">
        <v>1</v>
      </c>
      <c r="AA98" s="177"/>
      <c r="AB98" s="177"/>
      <c r="AC98" s="136"/>
      <c r="AD98" s="136"/>
      <c r="AE98" s="137"/>
    </row>
    <row r="99" spans="2:31" x14ac:dyDescent="0.35">
      <c r="B99" s="135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77"/>
      <c r="Y99" s="177"/>
      <c r="Z99" s="177"/>
      <c r="AA99" s="177"/>
      <c r="AB99" s="177"/>
      <c r="AC99" s="136"/>
      <c r="AD99" s="136"/>
      <c r="AE99" s="137"/>
    </row>
    <row r="100" spans="2:31" ht="15" thickBot="1" x14ac:dyDescent="0.4">
      <c r="B100" s="135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77"/>
      <c r="Y100" s="177"/>
      <c r="Z100" s="177"/>
      <c r="AA100" s="177"/>
      <c r="AB100" s="177"/>
      <c r="AC100" s="136"/>
      <c r="AD100" s="136"/>
      <c r="AE100" s="137"/>
    </row>
    <row r="101" spans="2:31" ht="15" thickBot="1" x14ac:dyDescent="0.4">
      <c r="B101" s="289" t="s">
        <v>375</v>
      </c>
      <c r="C101" s="290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49">
        <f>SUM(X97:X100)</f>
        <v>0</v>
      </c>
      <c r="Y101" s="49">
        <f>SUM(Y97:Y100)</f>
        <v>1</v>
      </c>
      <c r="Z101" s="49">
        <f>SUM(Z97:Z100)</f>
        <v>1</v>
      </c>
      <c r="AA101" s="49">
        <f>SUM(AA97:AA100)</f>
        <v>0</v>
      </c>
      <c r="AB101" s="49">
        <f>SUM(AB97:AB100)</f>
        <v>0</v>
      </c>
      <c r="AC101" s="138"/>
      <c r="AD101" s="138"/>
      <c r="AE101" s="139"/>
    </row>
  </sheetData>
  <mergeCells count="31">
    <mergeCell ref="A17:A18"/>
    <mergeCell ref="A2:A3"/>
    <mergeCell ref="A6:A7"/>
    <mergeCell ref="A8:A9"/>
    <mergeCell ref="A11:A12"/>
    <mergeCell ref="A14:A15"/>
    <mergeCell ref="A51:A52"/>
    <mergeCell ref="A21:A22"/>
    <mergeCell ref="A26:A27"/>
    <mergeCell ref="A28:A29"/>
    <mergeCell ref="A30:A31"/>
    <mergeCell ref="A33:A34"/>
    <mergeCell ref="A35:A36"/>
    <mergeCell ref="A37:A38"/>
    <mergeCell ref="A39:A40"/>
    <mergeCell ref="A41:A42"/>
    <mergeCell ref="A43:A44"/>
    <mergeCell ref="A48:A49"/>
    <mergeCell ref="A53:A54"/>
    <mergeCell ref="A55:A56"/>
    <mergeCell ref="A60:A61"/>
    <mergeCell ref="A69:A70"/>
    <mergeCell ref="A71:A72"/>
    <mergeCell ref="B101:C101"/>
    <mergeCell ref="A79:A80"/>
    <mergeCell ref="A77:A78"/>
    <mergeCell ref="A82:A83"/>
    <mergeCell ref="A85:A86"/>
    <mergeCell ref="A87:A88"/>
    <mergeCell ref="A91:A92"/>
    <mergeCell ref="B94:C9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2023_old</vt:lpstr>
      <vt:lpstr>2023 Ikperi. Cont</vt:lpstr>
      <vt:lpstr>Attendance 2023</vt:lpstr>
      <vt:lpstr>Attendance 2024_old</vt:lpstr>
      <vt:lpstr>Attendance 2024</vt:lpstr>
      <vt:lpstr>Attendance 2025</vt:lpstr>
      <vt:lpstr>Exco Election Data</vt:lpstr>
      <vt:lpstr>'Attendance 2024'!Print_Area</vt:lpstr>
      <vt:lpstr>'Attendance 2025'!Print_Area</vt:lpstr>
      <vt:lpstr>'Attendance 2024'!Print_Titles</vt:lpstr>
      <vt:lpstr>'Attendance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Iheanaetu</dc:creator>
  <cp:lastModifiedBy>Andrew Iheanaetu</cp:lastModifiedBy>
  <cp:lastPrinted>2024-07-07T16:45:12Z</cp:lastPrinted>
  <dcterms:created xsi:type="dcterms:W3CDTF">2022-06-03T09:31:51Z</dcterms:created>
  <dcterms:modified xsi:type="dcterms:W3CDTF">2025-09-28T07:37:32Z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8e15ab-35e5-4c26-ae79-098a07be21fa_Enabled">
    <vt:lpwstr>true</vt:lpwstr>
  </property>
  <property fmtid="{D5CDD505-2E9C-101B-9397-08002B2CF9AE}" pid="3" name="MSIP_Label_c88e15ab-35e5-4c26-ae79-098a07be21fa_SetDate">
    <vt:lpwstr>2025-06-11T10:15:49Z</vt:lpwstr>
  </property>
  <property fmtid="{D5CDD505-2E9C-101B-9397-08002B2CF9AE}" pid="4" name="MSIP_Label_c88e15ab-35e5-4c26-ae79-098a07be21fa_Method">
    <vt:lpwstr>Privileged</vt:lpwstr>
  </property>
  <property fmtid="{D5CDD505-2E9C-101B-9397-08002B2CF9AE}" pid="5" name="MSIP_Label_c88e15ab-35e5-4c26-ae79-098a07be21fa_Name">
    <vt:lpwstr>Personal</vt:lpwstr>
  </property>
  <property fmtid="{D5CDD505-2E9C-101B-9397-08002B2CF9AE}" pid="6" name="MSIP_Label_c88e15ab-35e5-4c26-ae79-098a07be21fa_SiteId">
    <vt:lpwstr>37f843bb-56cf-4a6d-98b9-2eac36ebb606</vt:lpwstr>
  </property>
  <property fmtid="{D5CDD505-2E9C-101B-9397-08002B2CF9AE}" pid="7" name="MSIP_Label_c88e15ab-35e5-4c26-ae79-098a07be21fa_ActionId">
    <vt:lpwstr>390df29d-08ed-4ccb-82b6-6be1fa7ff754</vt:lpwstr>
  </property>
  <property fmtid="{D5CDD505-2E9C-101B-9397-08002B2CF9AE}" pid="8" name="MSIP_Label_c88e15ab-35e5-4c26-ae79-098a07be21fa_ContentBits">
    <vt:lpwstr>1</vt:lpwstr>
  </property>
  <property fmtid="{D5CDD505-2E9C-101B-9397-08002B2CF9AE}" pid="9" name="MSIP_Label_c88e15ab-35e5-4c26-ae79-098a07be21fa_Tag">
    <vt:lpwstr>10, 0, 1, 1</vt:lpwstr>
  </property>
</Properties>
</file>